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EDLD652_Diss/Data/"/>
    </mc:Choice>
  </mc:AlternateContent>
  <xr:revisionPtr revIDLastSave="0" documentId="13_ncr:1_{0BF30F22-FF1C-E449-B491-D5D32D97A29B}" xr6:coauthVersionLast="47" xr6:coauthVersionMax="47" xr10:uidLastSave="{00000000-0000-0000-0000-000000000000}"/>
  <bookViews>
    <workbookView xWindow="13280" yWindow="820" windowWidth="25400" windowHeight="15900" xr2:uid="{1EA0D511-E3B1-4D4B-AFF6-A41D5573900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2" i="1" l="1"/>
  <c r="G142" i="1"/>
  <c r="D131" i="1"/>
  <c r="D121" i="1"/>
  <c r="D111" i="1"/>
  <c r="D102" i="1"/>
  <c r="D91" i="1"/>
  <c r="D81" i="1"/>
  <c r="D61" i="1"/>
  <c r="D51" i="1"/>
  <c r="D41" i="1"/>
  <c r="D31" i="1"/>
  <c r="D21" i="1"/>
  <c r="D11" i="1"/>
  <c r="D141" i="1" l="1"/>
  <c r="D71" i="1"/>
</calcChain>
</file>

<file path=xl/sharedStrings.xml><?xml version="1.0" encoding="utf-8"?>
<sst xmlns="http://schemas.openxmlformats.org/spreadsheetml/2006/main" count="427" uniqueCount="37">
  <si>
    <t>Race</t>
  </si>
  <si>
    <t xml:space="preserve">Year </t>
  </si>
  <si>
    <t xml:space="preserve">Area </t>
  </si>
  <si>
    <t>Attempts to
contact
unsuccessful</t>
  </si>
  <si>
    <t>Complete prior to reaching max age for Part C</t>
  </si>
  <si>
    <t>Moved out of state</t>
  </si>
  <si>
    <t>Not eligible for Part B, exit
with no referrals</t>
  </si>
  <si>
    <t>Not eligible for Part B, exit with referrals to other programs</t>
  </si>
  <si>
    <t>Part B eligibility not determined</t>
  </si>
  <si>
    <t>Part B eligible, exiting
Part C</t>
  </si>
  <si>
    <t>Withdrawal
by parent</t>
  </si>
  <si>
    <r>
      <t>Exiting total</t>
    </r>
    <r>
      <rPr>
        <vertAlign val="superscript"/>
        <sz val="10"/>
        <rFont val="Arial"/>
        <family val="2"/>
      </rPr>
      <t>2</t>
    </r>
  </si>
  <si>
    <t>Oregon</t>
  </si>
  <si>
    <t>-</t>
  </si>
  <si>
    <t>21_22</t>
  </si>
  <si>
    <t>US and Outlying Areas</t>
  </si>
  <si>
    <t>20_21</t>
  </si>
  <si>
    <t>20_22</t>
  </si>
  <si>
    <t>19_20</t>
  </si>
  <si>
    <t>18_19</t>
  </si>
  <si>
    <t>17_18</t>
  </si>
  <si>
    <t>16_17</t>
  </si>
  <si>
    <t>16-17</t>
  </si>
  <si>
    <t>14_15</t>
  </si>
  <si>
    <t>13_14</t>
  </si>
  <si>
    <t>14_14</t>
  </si>
  <si>
    <t>15_16</t>
  </si>
  <si>
    <t>15-16</t>
  </si>
  <si>
    <t>BL</t>
  </si>
  <si>
    <t>AM</t>
  </si>
  <si>
    <t>AS</t>
  </si>
  <si>
    <t>HI</t>
  </si>
  <si>
    <t>MU</t>
  </si>
  <si>
    <t>PI</t>
  </si>
  <si>
    <t>WH</t>
  </si>
  <si>
    <t xml:space="preserve">Deceased (I WILL NOT USE THIS COLOMN) </t>
  </si>
  <si>
    <t xml:space="preserve">Part B eligible, continuing in Part C (I WILL NOT USE THIS COLUMN)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</si>
</sst>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16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2" borderId="0" xfId="0" applyFont="1" applyFill="1" applyAlignment="1">
      <alignment horizontal="center" vertical="top" wrapText="1" shrinkToFit="1"/>
    </xf>
    <xf numFmtId="164" fontId="2" fillId="2" borderId="0" xfId="0" applyNumberFormat="1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525B-B2AD-9C4D-80D9-58F59817B9C0}">
  <dimension ref="A1:N142"/>
  <sheetViews>
    <sheetView tabSelected="1" zoomScale="125" zoomScaleNormal="125" workbookViewId="0">
      <pane ySplit="1" topLeftCell="A129" activePane="bottomLeft" state="frozen"/>
      <selection pane="bottomLeft" activeCell="L142" sqref="L142"/>
    </sheetView>
  </sheetViews>
  <sheetFormatPr baseColWidth="10" defaultRowHeight="16" x14ac:dyDescent="0.2"/>
  <sheetData>
    <row r="1" spans="1:14" ht="98" x14ac:dyDescent="0.2">
      <c r="A1" s="1" t="s">
        <v>0</v>
      </c>
      <c r="B1" s="1" t="s">
        <v>1</v>
      </c>
      <c r="C1" s="1" t="s">
        <v>2</v>
      </c>
      <c r="D1" s="6" t="s">
        <v>11</v>
      </c>
      <c r="E1" s="11" t="s">
        <v>3</v>
      </c>
      <c r="F1" s="8" t="s">
        <v>4</v>
      </c>
      <c r="G1" s="10" t="s">
        <v>35</v>
      </c>
      <c r="H1" s="12" t="s">
        <v>5</v>
      </c>
      <c r="I1" s="9" t="s">
        <v>6</v>
      </c>
      <c r="J1" s="8" t="s">
        <v>7</v>
      </c>
      <c r="K1" s="6" t="s">
        <v>8</v>
      </c>
      <c r="L1" s="10" t="s">
        <v>36</v>
      </c>
      <c r="M1" s="12" t="s">
        <v>9</v>
      </c>
      <c r="N1" s="12" t="s">
        <v>10</v>
      </c>
    </row>
    <row r="2" spans="1:14" x14ac:dyDescent="0.2">
      <c r="A2" t="s">
        <v>29</v>
      </c>
      <c r="B2" t="s">
        <v>14</v>
      </c>
      <c r="C2" s="4" t="s">
        <v>12</v>
      </c>
      <c r="D2" s="3">
        <v>34</v>
      </c>
      <c r="E2" s="3">
        <v>3</v>
      </c>
      <c r="F2" s="3">
        <v>2</v>
      </c>
      <c r="G2" s="3">
        <v>1</v>
      </c>
      <c r="H2" s="3">
        <v>0</v>
      </c>
      <c r="I2" s="3">
        <v>1</v>
      </c>
      <c r="J2" s="3">
        <v>0</v>
      </c>
      <c r="K2" s="3">
        <v>0</v>
      </c>
      <c r="L2" s="3" t="s">
        <v>13</v>
      </c>
      <c r="M2" s="3">
        <v>20</v>
      </c>
      <c r="N2" s="3">
        <v>7</v>
      </c>
    </row>
    <row r="3" spans="1:14" x14ac:dyDescent="0.2">
      <c r="A3" t="s">
        <v>29</v>
      </c>
      <c r="B3" t="s">
        <v>16</v>
      </c>
      <c r="C3" s="2" t="s">
        <v>12</v>
      </c>
      <c r="D3" s="3">
        <v>24</v>
      </c>
      <c r="E3" s="3">
        <v>5</v>
      </c>
      <c r="F3" s="3">
        <v>2</v>
      </c>
      <c r="G3" s="3">
        <v>0</v>
      </c>
      <c r="H3" s="3">
        <v>0</v>
      </c>
      <c r="I3" s="3">
        <v>2</v>
      </c>
      <c r="J3" s="3">
        <v>0</v>
      </c>
      <c r="K3" s="3">
        <v>0</v>
      </c>
      <c r="L3" s="3">
        <v>0</v>
      </c>
      <c r="M3" s="3">
        <v>10</v>
      </c>
      <c r="N3" s="3">
        <v>5</v>
      </c>
    </row>
    <row r="4" spans="1:14" x14ac:dyDescent="0.2">
      <c r="A4" t="s">
        <v>29</v>
      </c>
      <c r="B4" t="s">
        <v>18</v>
      </c>
      <c r="C4" s="2" t="s">
        <v>12</v>
      </c>
      <c r="D4" s="3">
        <v>45</v>
      </c>
      <c r="E4" s="3">
        <v>9</v>
      </c>
      <c r="F4" s="3">
        <v>3</v>
      </c>
      <c r="G4" s="3">
        <v>0</v>
      </c>
      <c r="H4" s="3">
        <v>2</v>
      </c>
      <c r="I4" s="3">
        <v>0</v>
      </c>
      <c r="J4" s="3">
        <v>1</v>
      </c>
      <c r="K4" s="3">
        <v>0</v>
      </c>
      <c r="L4" s="3" t="s">
        <v>13</v>
      </c>
      <c r="M4" s="3">
        <v>28</v>
      </c>
      <c r="N4" s="3">
        <v>2</v>
      </c>
    </row>
    <row r="5" spans="1:14" x14ac:dyDescent="0.2">
      <c r="A5" t="s">
        <v>29</v>
      </c>
      <c r="B5" t="s">
        <v>19</v>
      </c>
      <c r="C5" s="2" t="s">
        <v>12</v>
      </c>
      <c r="D5" s="3">
        <v>34</v>
      </c>
      <c r="E5" s="3">
        <v>2</v>
      </c>
      <c r="F5" s="3">
        <v>4</v>
      </c>
      <c r="G5" s="3">
        <v>0</v>
      </c>
      <c r="H5" s="3">
        <v>4</v>
      </c>
      <c r="I5" s="3">
        <v>2</v>
      </c>
      <c r="J5" s="3">
        <v>0</v>
      </c>
      <c r="K5" s="3">
        <v>0</v>
      </c>
      <c r="L5" s="3">
        <v>0</v>
      </c>
      <c r="M5" s="3">
        <v>18</v>
      </c>
      <c r="N5" s="3">
        <v>4</v>
      </c>
    </row>
    <row r="6" spans="1:14" x14ac:dyDescent="0.2">
      <c r="A6" t="s">
        <v>29</v>
      </c>
      <c r="B6" t="s">
        <v>20</v>
      </c>
      <c r="C6" s="2" t="s">
        <v>12</v>
      </c>
      <c r="D6" s="3">
        <v>31</v>
      </c>
      <c r="E6" s="3">
        <v>1</v>
      </c>
      <c r="F6" s="3">
        <v>1</v>
      </c>
      <c r="G6" s="3">
        <v>0</v>
      </c>
      <c r="H6" s="3">
        <v>2</v>
      </c>
      <c r="I6" s="3">
        <v>3</v>
      </c>
      <c r="J6" s="3">
        <v>0</v>
      </c>
      <c r="K6" s="3">
        <v>0</v>
      </c>
      <c r="L6" s="3" t="s">
        <v>13</v>
      </c>
      <c r="M6" s="3">
        <v>20</v>
      </c>
      <c r="N6" s="3">
        <v>4</v>
      </c>
    </row>
    <row r="7" spans="1:14" x14ac:dyDescent="0.2">
      <c r="A7" t="s">
        <v>29</v>
      </c>
      <c r="B7" t="s">
        <v>21</v>
      </c>
      <c r="C7" s="2" t="s">
        <v>12</v>
      </c>
      <c r="D7" s="3">
        <v>16</v>
      </c>
      <c r="E7" s="3">
        <v>2</v>
      </c>
      <c r="F7" s="3">
        <v>2</v>
      </c>
      <c r="G7" s="3">
        <v>0</v>
      </c>
      <c r="H7" s="3">
        <v>1</v>
      </c>
      <c r="I7" s="3">
        <v>2</v>
      </c>
      <c r="J7" s="3">
        <v>0</v>
      </c>
      <c r="K7" s="3">
        <v>0</v>
      </c>
      <c r="L7" s="3">
        <v>0</v>
      </c>
      <c r="M7" s="3">
        <v>3</v>
      </c>
      <c r="N7" s="3">
        <v>6</v>
      </c>
    </row>
    <row r="8" spans="1:14" x14ac:dyDescent="0.2">
      <c r="A8" t="s">
        <v>29</v>
      </c>
      <c r="B8" t="s">
        <v>26</v>
      </c>
      <c r="C8" s="2" t="s">
        <v>12</v>
      </c>
      <c r="D8" s="3">
        <v>24</v>
      </c>
      <c r="E8" s="3">
        <v>0</v>
      </c>
      <c r="F8" s="3">
        <v>3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13</v>
      </c>
      <c r="N8" s="3">
        <v>7</v>
      </c>
    </row>
    <row r="9" spans="1:14" x14ac:dyDescent="0.2">
      <c r="A9" t="s">
        <v>29</v>
      </c>
      <c r="B9" t="s">
        <v>23</v>
      </c>
      <c r="C9" s="2" t="s">
        <v>12</v>
      </c>
      <c r="D9" s="3">
        <v>29</v>
      </c>
      <c r="E9" s="3">
        <v>5</v>
      </c>
      <c r="F9" s="3">
        <v>4</v>
      </c>
      <c r="G9" s="3">
        <v>0</v>
      </c>
      <c r="H9" s="3">
        <v>3</v>
      </c>
      <c r="I9" s="3">
        <v>3</v>
      </c>
      <c r="J9" s="3">
        <v>0</v>
      </c>
      <c r="K9" s="3">
        <v>0</v>
      </c>
      <c r="L9" s="3" t="s">
        <v>13</v>
      </c>
      <c r="M9" s="3">
        <v>12</v>
      </c>
      <c r="N9" s="3">
        <v>2</v>
      </c>
    </row>
    <row r="10" spans="1:14" x14ac:dyDescent="0.2">
      <c r="A10" t="s">
        <v>29</v>
      </c>
      <c r="B10" t="s">
        <v>24</v>
      </c>
      <c r="C10" s="4" t="s">
        <v>12</v>
      </c>
      <c r="D10" s="5">
        <v>30</v>
      </c>
      <c r="E10" s="5">
        <v>5</v>
      </c>
      <c r="F10" s="5">
        <v>5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 t="s">
        <v>13</v>
      </c>
      <c r="M10" s="5">
        <v>13</v>
      </c>
      <c r="N10" s="5">
        <v>3</v>
      </c>
    </row>
    <row r="11" spans="1:14" x14ac:dyDescent="0.2">
      <c r="C11" s="4"/>
      <c r="D11" s="13">
        <f>SUM(D2:D10)</f>
        <v>267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">
      <c r="A12" t="s">
        <v>30</v>
      </c>
      <c r="B12" t="s">
        <v>14</v>
      </c>
      <c r="C12" s="4" t="s">
        <v>12</v>
      </c>
      <c r="D12" s="3">
        <v>146</v>
      </c>
      <c r="E12" s="3">
        <v>8</v>
      </c>
      <c r="F12" s="3">
        <v>3</v>
      </c>
      <c r="G12" s="3">
        <v>0</v>
      </c>
      <c r="H12" s="3">
        <v>20</v>
      </c>
      <c r="I12" s="3">
        <v>9</v>
      </c>
      <c r="J12" s="3">
        <v>0</v>
      </c>
      <c r="K12" s="3">
        <v>0</v>
      </c>
      <c r="L12" s="3" t="s">
        <v>13</v>
      </c>
      <c r="M12" s="3">
        <v>75</v>
      </c>
      <c r="N12" s="3">
        <v>31</v>
      </c>
    </row>
    <row r="13" spans="1:14" x14ac:dyDescent="0.2">
      <c r="A13" t="s">
        <v>30</v>
      </c>
      <c r="B13" t="s">
        <v>16</v>
      </c>
      <c r="C13" s="2" t="s">
        <v>12</v>
      </c>
      <c r="D13" s="3">
        <v>94</v>
      </c>
      <c r="E13" s="3">
        <v>6</v>
      </c>
      <c r="F13" s="3">
        <v>0</v>
      </c>
      <c r="G13" s="3">
        <v>0</v>
      </c>
      <c r="H13" s="3">
        <v>14</v>
      </c>
      <c r="I13" s="3">
        <v>5</v>
      </c>
      <c r="J13" s="3">
        <v>1</v>
      </c>
      <c r="K13" s="3">
        <v>3</v>
      </c>
      <c r="L13" s="3">
        <v>0</v>
      </c>
      <c r="M13" s="3">
        <v>30</v>
      </c>
      <c r="N13" s="3">
        <v>35</v>
      </c>
    </row>
    <row r="14" spans="1:14" x14ac:dyDescent="0.2">
      <c r="A14" t="s">
        <v>30</v>
      </c>
      <c r="B14" t="s">
        <v>18</v>
      </c>
      <c r="C14" s="2" t="s">
        <v>12</v>
      </c>
      <c r="D14" s="3">
        <v>140</v>
      </c>
      <c r="E14" s="3">
        <v>8</v>
      </c>
      <c r="F14" s="3">
        <v>3</v>
      </c>
      <c r="G14" s="3">
        <v>0</v>
      </c>
      <c r="H14" s="3">
        <v>17</v>
      </c>
      <c r="I14" s="3">
        <v>6</v>
      </c>
      <c r="J14" s="3">
        <v>2</v>
      </c>
      <c r="K14" s="3">
        <v>2</v>
      </c>
      <c r="L14" s="3" t="s">
        <v>13</v>
      </c>
      <c r="M14" s="3">
        <v>76</v>
      </c>
      <c r="N14" s="3">
        <v>26</v>
      </c>
    </row>
    <row r="15" spans="1:14" x14ac:dyDescent="0.2">
      <c r="A15" t="s">
        <v>30</v>
      </c>
      <c r="B15" t="s">
        <v>19</v>
      </c>
      <c r="C15" s="2" t="s">
        <v>12</v>
      </c>
      <c r="D15" s="3">
        <v>143</v>
      </c>
      <c r="E15" s="3">
        <v>5</v>
      </c>
      <c r="F15" s="3">
        <v>1</v>
      </c>
      <c r="G15" s="3">
        <v>0</v>
      </c>
      <c r="H15" s="3">
        <v>21</v>
      </c>
      <c r="I15" s="3">
        <v>4</v>
      </c>
      <c r="J15" s="3">
        <v>1</v>
      </c>
      <c r="K15" s="3">
        <v>2</v>
      </c>
      <c r="L15" s="3">
        <v>0</v>
      </c>
      <c r="M15" s="3">
        <v>77</v>
      </c>
      <c r="N15" s="3">
        <v>32</v>
      </c>
    </row>
    <row r="16" spans="1:14" x14ac:dyDescent="0.2">
      <c r="A16" t="s">
        <v>30</v>
      </c>
      <c r="B16" t="s">
        <v>20</v>
      </c>
      <c r="C16" s="2" t="s">
        <v>12</v>
      </c>
      <c r="D16" s="3">
        <v>135</v>
      </c>
      <c r="E16" s="3">
        <v>10</v>
      </c>
      <c r="F16" s="3">
        <v>2</v>
      </c>
      <c r="G16" s="3">
        <v>1</v>
      </c>
      <c r="H16" s="3">
        <v>18</v>
      </c>
      <c r="I16" s="3">
        <v>8</v>
      </c>
      <c r="J16" s="3">
        <v>0</v>
      </c>
      <c r="K16" s="3">
        <v>0</v>
      </c>
      <c r="L16" s="3" t="s">
        <v>13</v>
      </c>
      <c r="M16" s="3">
        <v>69</v>
      </c>
      <c r="N16" s="3">
        <v>27</v>
      </c>
    </row>
    <row r="17" spans="1:14" x14ac:dyDescent="0.2">
      <c r="A17" t="s">
        <v>30</v>
      </c>
      <c r="B17" t="s">
        <v>21</v>
      </c>
      <c r="C17" s="2" t="s">
        <v>12</v>
      </c>
      <c r="D17" s="3">
        <v>103</v>
      </c>
      <c r="E17" s="3">
        <v>1</v>
      </c>
      <c r="F17" s="3">
        <v>2</v>
      </c>
      <c r="G17" s="3">
        <v>0</v>
      </c>
      <c r="H17" s="3">
        <v>14</v>
      </c>
      <c r="I17" s="3">
        <v>10</v>
      </c>
      <c r="J17" s="3">
        <v>0</v>
      </c>
      <c r="K17" s="3">
        <v>0</v>
      </c>
      <c r="L17" s="3">
        <v>0</v>
      </c>
      <c r="M17" s="3">
        <v>54</v>
      </c>
      <c r="N17" s="3">
        <v>22</v>
      </c>
    </row>
    <row r="18" spans="1:14" x14ac:dyDescent="0.2">
      <c r="A18" t="s">
        <v>30</v>
      </c>
      <c r="B18" t="s">
        <v>26</v>
      </c>
      <c r="C18" s="2" t="s">
        <v>12</v>
      </c>
      <c r="D18" s="3">
        <v>106</v>
      </c>
      <c r="E18" s="3">
        <v>6</v>
      </c>
      <c r="F18" s="3">
        <v>7</v>
      </c>
      <c r="G18" s="3">
        <v>1</v>
      </c>
      <c r="H18" s="3">
        <v>15</v>
      </c>
      <c r="I18" s="3">
        <v>4</v>
      </c>
      <c r="J18" s="3">
        <v>0</v>
      </c>
      <c r="K18" s="3">
        <v>1</v>
      </c>
      <c r="L18" s="3">
        <v>0</v>
      </c>
      <c r="M18" s="3">
        <v>52</v>
      </c>
      <c r="N18" s="3">
        <v>20</v>
      </c>
    </row>
    <row r="19" spans="1:14" x14ac:dyDescent="0.2">
      <c r="A19" t="s">
        <v>30</v>
      </c>
      <c r="B19" t="s">
        <v>23</v>
      </c>
      <c r="C19" s="2" t="s">
        <v>12</v>
      </c>
      <c r="D19" s="3">
        <v>103</v>
      </c>
      <c r="E19" s="3">
        <v>8</v>
      </c>
      <c r="F19" s="3">
        <v>6</v>
      </c>
      <c r="G19" s="3">
        <v>0</v>
      </c>
      <c r="H19" s="3">
        <v>8</v>
      </c>
      <c r="I19" s="3">
        <v>6</v>
      </c>
      <c r="J19" s="3">
        <v>0</v>
      </c>
      <c r="K19" s="3">
        <v>0</v>
      </c>
      <c r="L19" s="3" t="s">
        <v>13</v>
      </c>
      <c r="M19" s="3">
        <v>63</v>
      </c>
      <c r="N19" s="3">
        <v>12</v>
      </c>
    </row>
    <row r="20" spans="1:14" x14ac:dyDescent="0.2">
      <c r="A20" t="s">
        <v>30</v>
      </c>
      <c r="B20" t="s">
        <v>24</v>
      </c>
      <c r="C20" s="4" t="s">
        <v>12</v>
      </c>
      <c r="D20" s="5">
        <v>85</v>
      </c>
      <c r="E20" s="5">
        <v>4</v>
      </c>
      <c r="F20" s="5">
        <v>2</v>
      </c>
      <c r="G20" s="5">
        <v>0</v>
      </c>
      <c r="H20" s="5">
        <v>9</v>
      </c>
      <c r="I20" s="5">
        <v>5</v>
      </c>
      <c r="J20" s="5">
        <v>2</v>
      </c>
      <c r="K20" s="5">
        <v>0</v>
      </c>
      <c r="L20" s="5" t="s">
        <v>13</v>
      </c>
      <c r="M20" s="5">
        <v>49</v>
      </c>
      <c r="N20" s="5">
        <v>14</v>
      </c>
    </row>
    <row r="21" spans="1:14" x14ac:dyDescent="0.2">
      <c r="C21" s="4"/>
      <c r="D21" s="13">
        <f>SUM(D12:D20)</f>
        <v>1055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">
      <c r="A22" t="s">
        <v>28</v>
      </c>
      <c r="B22" t="s">
        <v>14</v>
      </c>
      <c r="C22" s="4" t="s">
        <v>12</v>
      </c>
      <c r="D22" s="3">
        <v>101</v>
      </c>
      <c r="E22" s="3">
        <v>9</v>
      </c>
      <c r="F22" s="3">
        <v>2</v>
      </c>
      <c r="G22" s="3">
        <v>0</v>
      </c>
      <c r="H22" s="3">
        <v>12</v>
      </c>
      <c r="I22" s="3">
        <v>2</v>
      </c>
      <c r="J22" s="3">
        <v>1</v>
      </c>
      <c r="K22" s="3">
        <v>1</v>
      </c>
      <c r="L22" s="3" t="s">
        <v>13</v>
      </c>
      <c r="M22" s="3">
        <v>52</v>
      </c>
      <c r="N22" s="3">
        <v>22</v>
      </c>
    </row>
    <row r="23" spans="1:14" x14ac:dyDescent="0.2">
      <c r="A23" t="s">
        <v>28</v>
      </c>
      <c r="B23" t="s">
        <v>16</v>
      </c>
      <c r="C23" s="4" t="s">
        <v>12</v>
      </c>
      <c r="D23" s="3">
        <v>98</v>
      </c>
      <c r="E23" s="3">
        <v>11</v>
      </c>
      <c r="F23" s="3">
        <v>0</v>
      </c>
      <c r="G23" s="3">
        <v>0</v>
      </c>
      <c r="H23" s="3">
        <v>10</v>
      </c>
      <c r="I23" s="3">
        <v>2</v>
      </c>
      <c r="J23" s="3">
        <v>3</v>
      </c>
      <c r="K23" s="3">
        <v>0</v>
      </c>
      <c r="L23" s="3">
        <v>0</v>
      </c>
      <c r="M23" s="3">
        <v>55</v>
      </c>
      <c r="N23" s="3">
        <v>17</v>
      </c>
    </row>
    <row r="24" spans="1:14" x14ac:dyDescent="0.2">
      <c r="A24" t="s">
        <v>28</v>
      </c>
      <c r="B24" t="s">
        <v>18</v>
      </c>
      <c r="C24" s="2" t="s">
        <v>12</v>
      </c>
      <c r="D24" s="3">
        <v>101</v>
      </c>
      <c r="E24" s="3">
        <v>10</v>
      </c>
      <c r="F24" s="3">
        <v>0</v>
      </c>
      <c r="G24" s="3">
        <v>1</v>
      </c>
      <c r="H24" s="3">
        <v>6</v>
      </c>
      <c r="I24" s="3">
        <v>1</v>
      </c>
      <c r="J24" s="3">
        <v>0</v>
      </c>
      <c r="K24" s="3">
        <v>1</v>
      </c>
      <c r="L24" s="3" t="s">
        <v>13</v>
      </c>
      <c r="M24" s="3">
        <v>59</v>
      </c>
      <c r="N24" s="3">
        <v>23</v>
      </c>
    </row>
    <row r="25" spans="1:14" x14ac:dyDescent="0.2">
      <c r="A25" t="s">
        <v>28</v>
      </c>
      <c r="B25" t="s">
        <v>19</v>
      </c>
      <c r="C25" s="2" t="s">
        <v>12</v>
      </c>
      <c r="D25" s="3">
        <v>84</v>
      </c>
      <c r="E25" s="3">
        <v>12</v>
      </c>
      <c r="F25" s="3">
        <v>1</v>
      </c>
      <c r="G25" s="3">
        <v>1</v>
      </c>
      <c r="H25" s="3">
        <v>7</v>
      </c>
      <c r="I25" s="3">
        <v>2</v>
      </c>
      <c r="J25" s="3">
        <v>3</v>
      </c>
      <c r="K25" s="3">
        <v>0</v>
      </c>
      <c r="L25" s="3">
        <v>0</v>
      </c>
      <c r="M25" s="3">
        <v>49</v>
      </c>
      <c r="N25" s="3">
        <v>9</v>
      </c>
    </row>
    <row r="26" spans="1:14" x14ac:dyDescent="0.2">
      <c r="A26" t="s">
        <v>28</v>
      </c>
      <c r="B26" t="s">
        <v>20</v>
      </c>
      <c r="C26" s="2" t="s">
        <v>12</v>
      </c>
      <c r="D26" s="3">
        <v>64</v>
      </c>
      <c r="E26" s="3">
        <v>4</v>
      </c>
      <c r="F26" s="3">
        <v>1</v>
      </c>
      <c r="G26" s="3">
        <v>0</v>
      </c>
      <c r="H26" s="3">
        <v>3</v>
      </c>
      <c r="I26" s="3">
        <v>1</v>
      </c>
      <c r="J26" s="3">
        <v>0</v>
      </c>
      <c r="K26" s="3">
        <v>0</v>
      </c>
      <c r="L26" s="3" t="s">
        <v>13</v>
      </c>
      <c r="M26" s="3">
        <v>47</v>
      </c>
      <c r="N26" s="3">
        <v>8</v>
      </c>
    </row>
    <row r="27" spans="1:14" x14ac:dyDescent="0.2">
      <c r="A27" t="s">
        <v>28</v>
      </c>
      <c r="B27" t="s">
        <v>21</v>
      </c>
      <c r="C27" s="2" t="s">
        <v>12</v>
      </c>
      <c r="D27" s="3">
        <v>80</v>
      </c>
      <c r="E27" s="3">
        <v>7</v>
      </c>
      <c r="F27" s="3">
        <v>3</v>
      </c>
      <c r="G27" s="3">
        <v>0</v>
      </c>
      <c r="H27" s="3">
        <v>5</v>
      </c>
      <c r="I27" s="3">
        <v>4</v>
      </c>
      <c r="J27" s="3">
        <v>0</v>
      </c>
      <c r="K27" s="3">
        <v>0</v>
      </c>
      <c r="L27" s="3">
        <v>0</v>
      </c>
      <c r="M27" s="3">
        <v>48</v>
      </c>
      <c r="N27" s="3">
        <v>13</v>
      </c>
    </row>
    <row r="28" spans="1:14" x14ac:dyDescent="0.2">
      <c r="A28" t="s">
        <v>28</v>
      </c>
      <c r="B28" t="s">
        <v>26</v>
      </c>
      <c r="C28" s="2" t="s">
        <v>12</v>
      </c>
      <c r="D28" s="3">
        <v>62</v>
      </c>
      <c r="E28" s="3">
        <v>5</v>
      </c>
      <c r="F28" s="3">
        <v>2</v>
      </c>
      <c r="G28" s="3">
        <v>0</v>
      </c>
      <c r="H28" s="3">
        <v>4</v>
      </c>
      <c r="I28" s="3">
        <v>3</v>
      </c>
      <c r="J28" s="3">
        <v>0</v>
      </c>
      <c r="K28" s="3">
        <v>0</v>
      </c>
      <c r="L28" s="3">
        <v>0</v>
      </c>
      <c r="M28" s="3">
        <v>31</v>
      </c>
      <c r="N28" s="3">
        <v>17</v>
      </c>
    </row>
    <row r="29" spans="1:14" x14ac:dyDescent="0.2">
      <c r="A29" t="s">
        <v>28</v>
      </c>
      <c r="B29" t="s">
        <v>23</v>
      </c>
      <c r="C29" s="2" t="s">
        <v>12</v>
      </c>
      <c r="D29" s="3">
        <v>54</v>
      </c>
      <c r="E29" s="3">
        <v>6</v>
      </c>
      <c r="F29" s="3">
        <v>2</v>
      </c>
      <c r="G29" s="3">
        <v>0</v>
      </c>
      <c r="H29" s="3">
        <v>4</v>
      </c>
      <c r="I29" s="3">
        <v>1</v>
      </c>
      <c r="J29" s="3">
        <v>0</v>
      </c>
      <c r="K29" s="3">
        <v>0</v>
      </c>
      <c r="L29" s="3" t="s">
        <v>13</v>
      </c>
      <c r="M29" s="3">
        <v>33</v>
      </c>
      <c r="N29" s="3">
        <v>8</v>
      </c>
    </row>
    <row r="30" spans="1:14" x14ac:dyDescent="0.2">
      <c r="A30" t="s">
        <v>28</v>
      </c>
      <c r="B30" t="s">
        <v>24</v>
      </c>
      <c r="C30" s="4" t="s">
        <v>12</v>
      </c>
      <c r="D30" s="5">
        <v>87</v>
      </c>
      <c r="E30" s="5">
        <v>8</v>
      </c>
      <c r="F30" s="5">
        <v>13</v>
      </c>
      <c r="G30" s="5">
        <v>1</v>
      </c>
      <c r="H30" s="5">
        <v>5</v>
      </c>
      <c r="I30" s="5">
        <v>3</v>
      </c>
      <c r="J30" s="5">
        <v>0</v>
      </c>
      <c r="K30" s="5">
        <v>0</v>
      </c>
      <c r="L30" s="5" t="s">
        <v>13</v>
      </c>
      <c r="M30" s="5">
        <v>51</v>
      </c>
      <c r="N30" s="5">
        <v>6</v>
      </c>
    </row>
    <row r="31" spans="1:14" x14ac:dyDescent="0.2">
      <c r="C31" s="4"/>
      <c r="D31" s="13">
        <f>SUM(D22:D30)</f>
        <v>731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">
      <c r="A32" t="s">
        <v>31</v>
      </c>
      <c r="B32" t="s">
        <v>14</v>
      </c>
      <c r="C32" s="4" t="s">
        <v>12</v>
      </c>
      <c r="D32" s="3">
        <v>832</v>
      </c>
      <c r="E32" s="3">
        <v>81</v>
      </c>
      <c r="F32" s="3">
        <v>26</v>
      </c>
      <c r="G32" s="3">
        <v>0</v>
      </c>
      <c r="H32" s="3">
        <v>41</v>
      </c>
      <c r="I32" s="3">
        <v>31</v>
      </c>
      <c r="J32" s="3">
        <v>2</v>
      </c>
      <c r="K32" s="3">
        <v>5</v>
      </c>
      <c r="L32" s="3" t="s">
        <v>13</v>
      </c>
      <c r="M32" s="3">
        <v>530</v>
      </c>
      <c r="N32" s="3">
        <v>116</v>
      </c>
    </row>
    <row r="33" spans="1:14" x14ac:dyDescent="0.2">
      <c r="A33" t="s">
        <v>31</v>
      </c>
      <c r="B33" t="s">
        <v>16</v>
      </c>
      <c r="C33" s="2" t="s">
        <v>12</v>
      </c>
      <c r="D33" s="3">
        <v>715</v>
      </c>
      <c r="E33" s="3">
        <v>108</v>
      </c>
      <c r="F33" s="3">
        <v>28</v>
      </c>
      <c r="G33" s="3">
        <v>0</v>
      </c>
      <c r="H33" s="3">
        <v>26</v>
      </c>
      <c r="I33" s="3">
        <v>21</v>
      </c>
      <c r="J33" s="3">
        <v>3</v>
      </c>
      <c r="K33" s="3">
        <v>14</v>
      </c>
      <c r="L33" s="3">
        <v>0</v>
      </c>
      <c r="M33" s="3">
        <v>409</v>
      </c>
      <c r="N33" s="3">
        <v>106</v>
      </c>
    </row>
    <row r="34" spans="1:14" x14ac:dyDescent="0.2">
      <c r="A34" t="s">
        <v>31</v>
      </c>
      <c r="B34" t="s">
        <v>18</v>
      </c>
      <c r="C34" s="2" t="s">
        <v>12</v>
      </c>
      <c r="D34" s="3">
        <v>865</v>
      </c>
      <c r="E34" s="3">
        <v>88</v>
      </c>
      <c r="F34" s="3">
        <v>19</v>
      </c>
      <c r="G34" s="3">
        <v>1</v>
      </c>
      <c r="H34" s="3">
        <v>26</v>
      </c>
      <c r="I34" s="3">
        <v>40</v>
      </c>
      <c r="J34" s="3">
        <v>8</v>
      </c>
      <c r="K34" s="3">
        <v>20</v>
      </c>
      <c r="L34" s="3" t="s">
        <v>13</v>
      </c>
      <c r="M34" s="3">
        <v>544</v>
      </c>
      <c r="N34" s="3">
        <v>119</v>
      </c>
    </row>
    <row r="35" spans="1:14" x14ac:dyDescent="0.2">
      <c r="A35" t="s">
        <v>31</v>
      </c>
      <c r="B35" t="s">
        <v>19</v>
      </c>
      <c r="C35" s="2" t="s">
        <v>12</v>
      </c>
      <c r="D35" s="3">
        <v>876</v>
      </c>
      <c r="E35" s="3">
        <v>98</v>
      </c>
      <c r="F35" s="3">
        <v>27</v>
      </c>
      <c r="G35" s="3">
        <v>2</v>
      </c>
      <c r="H35" s="3">
        <v>34</v>
      </c>
      <c r="I35" s="3">
        <v>56</v>
      </c>
      <c r="J35" s="3">
        <v>4</v>
      </c>
      <c r="K35" s="3">
        <v>11</v>
      </c>
      <c r="L35" s="3">
        <v>0</v>
      </c>
      <c r="M35" s="3">
        <v>528</v>
      </c>
      <c r="N35" s="3">
        <v>116</v>
      </c>
    </row>
    <row r="36" spans="1:14" x14ac:dyDescent="0.2">
      <c r="A36" t="s">
        <v>31</v>
      </c>
      <c r="B36" t="s">
        <v>20</v>
      </c>
      <c r="C36" s="2" t="s">
        <v>12</v>
      </c>
      <c r="D36" s="3">
        <v>798</v>
      </c>
      <c r="E36" s="3">
        <v>69</v>
      </c>
      <c r="F36" s="3">
        <v>32</v>
      </c>
      <c r="G36" s="3">
        <v>1</v>
      </c>
      <c r="H36" s="3">
        <v>32</v>
      </c>
      <c r="I36" s="3">
        <v>51</v>
      </c>
      <c r="J36" s="3">
        <v>3</v>
      </c>
      <c r="K36" s="3">
        <v>1</v>
      </c>
      <c r="L36" s="3" t="s">
        <v>13</v>
      </c>
      <c r="M36" s="3">
        <v>497</v>
      </c>
      <c r="N36" s="3">
        <v>112</v>
      </c>
    </row>
    <row r="37" spans="1:14" x14ac:dyDescent="0.2">
      <c r="A37" t="s">
        <v>31</v>
      </c>
      <c r="B37" t="s">
        <v>21</v>
      </c>
      <c r="C37" s="2" t="s">
        <v>12</v>
      </c>
      <c r="D37" s="3">
        <v>791</v>
      </c>
      <c r="E37" s="3">
        <v>70</v>
      </c>
      <c r="F37" s="3">
        <v>37</v>
      </c>
      <c r="G37" s="3">
        <v>0</v>
      </c>
      <c r="H37" s="3">
        <v>33</v>
      </c>
      <c r="I37" s="3">
        <v>57</v>
      </c>
      <c r="J37" s="3">
        <v>3</v>
      </c>
      <c r="K37" s="7">
        <v>9</v>
      </c>
      <c r="L37" s="7">
        <v>0</v>
      </c>
      <c r="M37" s="7">
        <v>466</v>
      </c>
      <c r="N37" s="7">
        <v>116</v>
      </c>
    </row>
    <row r="38" spans="1:14" x14ac:dyDescent="0.2">
      <c r="A38" t="s">
        <v>31</v>
      </c>
      <c r="B38" t="s">
        <v>26</v>
      </c>
      <c r="C38" s="2" t="s">
        <v>12</v>
      </c>
      <c r="D38" s="3">
        <v>689</v>
      </c>
      <c r="E38" s="3">
        <v>64</v>
      </c>
      <c r="F38" s="3">
        <v>39</v>
      </c>
      <c r="G38" s="3">
        <v>3</v>
      </c>
      <c r="H38" s="3">
        <v>25</v>
      </c>
      <c r="I38" s="3">
        <v>47</v>
      </c>
      <c r="J38" s="3">
        <v>0</v>
      </c>
      <c r="K38" s="7">
        <v>8</v>
      </c>
      <c r="L38" s="7">
        <v>0</v>
      </c>
      <c r="M38" s="7">
        <v>432</v>
      </c>
      <c r="N38" s="7">
        <v>71</v>
      </c>
    </row>
    <row r="39" spans="1:14" x14ac:dyDescent="0.2">
      <c r="A39" t="s">
        <v>31</v>
      </c>
      <c r="B39" t="s">
        <v>23</v>
      </c>
      <c r="C39" s="2" t="s">
        <v>12</v>
      </c>
      <c r="D39" s="3">
        <v>711</v>
      </c>
      <c r="E39" s="3">
        <v>57</v>
      </c>
      <c r="F39" s="3">
        <v>29</v>
      </c>
      <c r="G39" s="3">
        <v>1</v>
      </c>
      <c r="H39" s="3">
        <v>29</v>
      </c>
      <c r="I39" s="3">
        <v>70</v>
      </c>
      <c r="J39" s="3">
        <v>0</v>
      </c>
      <c r="K39" s="3">
        <v>8</v>
      </c>
      <c r="L39" s="3" t="s">
        <v>13</v>
      </c>
      <c r="M39" s="3">
        <v>429</v>
      </c>
      <c r="N39" s="3">
        <v>88</v>
      </c>
    </row>
    <row r="40" spans="1:14" x14ac:dyDescent="0.2">
      <c r="A40" t="s">
        <v>31</v>
      </c>
      <c r="B40" t="s">
        <v>24</v>
      </c>
      <c r="C40" s="4" t="s">
        <v>12</v>
      </c>
      <c r="D40" s="5">
        <v>720</v>
      </c>
      <c r="E40" s="5">
        <v>62</v>
      </c>
      <c r="F40" s="5">
        <v>61</v>
      </c>
      <c r="G40" s="5">
        <v>1</v>
      </c>
      <c r="H40" s="5">
        <v>35</v>
      </c>
      <c r="I40" s="5">
        <v>29</v>
      </c>
      <c r="J40" s="5">
        <v>0</v>
      </c>
      <c r="K40" s="5">
        <v>2</v>
      </c>
      <c r="L40" s="5" t="s">
        <v>13</v>
      </c>
      <c r="M40" s="5">
        <v>467</v>
      </c>
      <c r="N40" s="5">
        <v>63</v>
      </c>
    </row>
    <row r="41" spans="1:14" x14ac:dyDescent="0.2">
      <c r="C41" s="4"/>
      <c r="D41" s="13">
        <f>SUM(D32:D40)</f>
        <v>6997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">
      <c r="A42" t="s">
        <v>32</v>
      </c>
      <c r="B42" t="s">
        <v>14</v>
      </c>
      <c r="C42" s="4" t="s">
        <v>12</v>
      </c>
      <c r="D42" s="3">
        <v>215</v>
      </c>
      <c r="E42" s="3">
        <v>12</v>
      </c>
      <c r="F42" s="3">
        <v>10</v>
      </c>
      <c r="G42" s="3">
        <v>1</v>
      </c>
      <c r="H42" s="3">
        <v>16</v>
      </c>
      <c r="I42" s="3">
        <v>9</v>
      </c>
      <c r="J42" s="3">
        <v>0</v>
      </c>
      <c r="K42" s="3">
        <v>3</v>
      </c>
      <c r="L42" s="3" t="s">
        <v>13</v>
      </c>
      <c r="M42" s="3">
        <v>123</v>
      </c>
      <c r="N42" s="3">
        <v>41</v>
      </c>
    </row>
    <row r="43" spans="1:14" x14ac:dyDescent="0.2">
      <c r="A43" t="s">
        <v>32</v>
      </c>
      <c r="B43" t="s">
        <v>16</v>
      </c>
      <c r="C43" s="2" t="s">
        <v>12</v>
      </c>
      <c r="D43" s="3">
        <v>195</v>
      </c>
      <c r="E43" s="3">
        <v>18</v>
      </c>
      <c r="F43" s="3">
        <v>3</v>
      </c>
      <c r="G43" s="3">
        <v>0</v>
      </c>
      <c r="H43" s="3">
        <v>13</v>
      </c>
      <c r="I43" s="3">
        <v>2</v>
      </c>
      <c r="J43" s="3">
        <v>2</v>
      </c>
      <c r="K43" s="3">
        <v>4</v>
      </c>
      <c r="L43" s="3">
        <v>0</v>
      </c>
      <c r="M43" s="3">
        <v>109</v>
      </c>
      <c r="N43" s="3">
        <v>44</v>
      </c>
    </row>
    <row r="44" spans="1:14" x14ac:dyDescent="0.2">
      <c r="A44" t="s">
        <v>32</v>
      </c>
      <c r="B44" t="s">
        <v>18</v>
      </c>
      <c r="C44" s="2" t="s">
        <v>12</v>
      </c>
      <c r="D44" s="3">
        <v>232</v>
      </c>
      <c r="E44" s="3">
        <v>6</v>
      </c>
      <c r="F44" s="3">
        <v>6</v>
      </c>
      <c r="G44" s="3">
        <v>1</v>
      </c>
      <c r="H44" s="3">
        <v>11</v>
      </c>
      <c r="I44" s="3">
        <v>10</v>
      </c>
      <c r="J44" s="3">
        <v>2</v>
      </c>
      <c r="K44" s="3">
        <v>4</v>
      </c>
      <c r="L44" s="3" t="s">
        <v>13</v>
      </c>
      <c r="M44" s="3">
        <v>140</v>
      </c>
      <c r="N44" s="3">
        <v>52</v>
      </c>
    </row>
    <row r="45" spans="1:14" x14ac:dyDescent="0.2">
      <c r="A45" t="s">
        <v>32</v>
      </c>
      <c r="B45" t="s">
        <v>19</v>
      </c>
      <c r="C45" s="2" t="s">
        <v>12</v>
      </c>
      <c r="D45" s="3">
        <v>172</v>
      </c>
      <c r="E45" s="3">
        <v>12</v>
      </c>
      <c r="F45" s="3">
        <v>2</v>
      </c>
      <c r="G45" s="3">
        <v>0</v>
      </c>
      <c r="H45" s="3">
        <v>13</v>
      </c>
      <c r="I45" s="3">
        <v>12</v>
      </c>
      <c r="J45" s="3">
        <v>0</v>
      </c>
      <c r="K45" s="3">
        <v>1</v>
      </c>
      <c r="L45" s="3">
        <v>0</v>
      </c>
      <c r="M45" s="3">
        <v>89</v>
      </c>
      <c r="N45" s="3">
        <v>43</v>
      </c>
    </row>
    <row r="46" spans="1:14" x14ac:dyDescent="0.2">
      <c r="A46" t="s">
        <v>32</v>
      </c>
      <c r="B46" t="s">
        <v>20</v>
      </c>
      <c r="C46" s="2" t="s">
        <v>12</v>
      </c>
      <c r="D46" s="3">
        <v>175</v>
      </c>
      <c r="E46" s="3">
        <v>13</v>
      </c>
      <c r="F46" s="3">
        <v>3</v>
      </c>
      <c r="G46" s="3">
        <v>1</v>
      </c>
      <c r="H46" s="3">
        <v>13</v>
      </c>
      <c r="I46" s="3">
        <v>12</v>
      </c>
      <c r="J46" s="3">
        <v>0</v>
      </c>
      <c r="K46" s="3">
        <v>1</v>
      </c>
      <c r="L46" s="3" t="s">
        <v>13</v>
      </c>
      <c r="M46" s="3">
        <v>97</v>
      </c>
      <c r="N46" s="3">
        <v>35</v>
      </c>
    </row>
    <row r="47" spans="1:14" x14ac:dyDescent="0.2">
      <c r="A47" t="s">
        <v>32</v>
      </c>
      <c r="B47" t="s">
        <v>21</v>
      </c>
      <c r="C47" s="2" t="s">
        <v>12</v>
      </c>
      <c r="D47" s="3">
        <v>129</v>
      </c>
      <c r="E47" s="3">
        <v>9</v>
      </c>
      <c r="F47" s="3">
        <v>3</v>
      </c>
      <c r="G47" s="3">
        <v>1</v>
      </c>
      <c r="H47" s="3">
        <v>6</v>
      </c>
      <c r="I47" s="3">
        <v>17</v>
      </c>
      <c r="J47" s="3">
        <v>0</v>
      </c>
      <c r="K47" s="7">
        <v>0</v>
      </c>
      <c r="L47" s="7">
        <v>0</v>
      </c>
      <c r="M47" s="7">
        <v>80</v>
      </c>
      <c r="N47" s="3">
        <v>13</v>
      </c>
    </row>
    <row r="48" spans="1:14" x14ac:dyDescent="0.2">
      <c r="A48" t="s">
        <v>32</v>
      </c>
      <c r="B48" t="s">
        <v>26</v>
      </c>
      <c r="C48" s="2" t="s">
        <v>12</v>
      </c>
      <c r="D48" s="3">
        <v>109</v>
      </c>
      <c r="E48" s="3">
        <v>2</v>
      </c>
      <c r="F48" s="3">
        <v>8</v>
      </c>
      <c r="G48" s="3">
        <v>0</v>
      </c>
      <c r="H48" s="3">
        <v>6</v>
      </c>
      <c r="I48" s="3">
        <v>11</v>
      </c>
      <c r="J48" s="3">
        <v>0</v>
      </c>
      <c r="K48" s="7">
        <v>0</v>
      </c>
      <c r="L48" s="7">
        <v>0</v>
      </c>
      <c r="M48" s="7">
        <v>70</v>
      </c>
      <c r="N48" s="3">
        <v>12</v>
      </c>
    </row>
    <row r="49" spans="1:14" x14ac:dyDescent="0.2">
      <c r="A49" t="s">
        <v>32</v>
      </c>
      <c r="B49" t="s">
        <v>23</v>
      </c>
      <c r="C49" s="2" t="s">
        <v>12</v>
      </c>
      <c r="D49" s="3">
        <v>105</v>
      </c>
      <c r="E49" s="3">
        <v>3</v>
      </c>
      <c r="F49" s="3">
        <v>7</v>
      </c>
      <c r="G49" s="3">
        <v>0</v>
      </c>
      <c r="H49" s="3">
        <v>6</v>
      </c>
      <c r="I49" s="3">
        <v>11</v>
      </c>
      <c r="J49" s="3">
        <v>0</v>
      </c>
      <c r="K49" s="3">
        <v>0</v>
      </c>
      <c r="L49" s="3" t="s">
        <v>13</v>
      </c>
      <c r="M49" s="3">
        <v>65</v>
      </c>
      <c r="N49" s="3">
        <v>13</v>
      </c>
    </row>
    <row r="50" spans="1:14" x14ac:dyDescent="0.2">
      <c r="A50" t="s">
        <v>32</v>
      </c>
      <c r="B50" t="s">
        <v>24</v>
      </c>
      <c r="C50" s="4" t="s">
        <v>12</v>
      </c>
      <c r="D50" s="5">
        <v>100</v>
      </c>
      <c r="E50" s="5">
        <v>9</v>
      </c>
      <c r="F50" s="5">
        <v>9</v>
      </c>
      <c r="G50" s="5">
        <v>0</v>
      </c>
      <c r="H50" s="5">
        <v>6</v>
      </c>
      <c r="I50" s="5">
        <v>3</v>
      </c>
      <c r="J50" s="5">
        <v>0</v>
      </c>
      <c r="K50" s="5">
        <v>0</v>
      </c>
      <c r="L50" s="5" t="s">
        <v>13</v>
      </c>
      <c r="M50" s="5">
        <v>63</v>
      </c>
      <c r="N50" s="5">
        <v>10</v>
      </c>
    </row>
    <row r="51" spans="1:14" x14ac:dyDescent="0.2">
      <c r="C51" s="4"/>
      <c r="D51" s="13">
        <f>SUM(D42:D50)</f>
        <v>1432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">
      <c r="A52" t="s">
        <v>33</v>
      </c>
      <c r="B52" t="s">
        <v>14</v>
      </c>
      <c r="C52" s="4" t="s">
        <v>12</v>
      </c>
      <c r="D52" s="3">
        <v>20</v>
      </c>
      <c r="E52" s="3">
        <v>4</v>
      </c>
      <c r="F52" s="3">
        <v>0</v>
      </c>
      <c r="G52" s="3">
        <v>0</v>
      </c>
      <c r="H52" s="3">
        <v>2</v>
      </c>
      <c r="I52" s="3">
        <v>0</v>
      </c>
      <c r="J52" s="3">
        <v>0</v>
      </c>
      <c r="K52" s="3">
        <v>0</v>
      </c>
      <c r="L52" s="3" t="s">
        <v>13</v>
      </c>
      <c r="M52" s="3">
        <v>12</v>
      </c>
      <c r="N52" s="3">
        <v>2</v>
      </c>
    </row>
    <row r="53" spans="1:14" x14ac:dyDescent="0.2">
      <c r="A53" t="s">
        <v>33</v>
      </c>
      <c r="B53" t="s">
        <v>16</v>
      </c>
      <c r="C53" s="2" t="s">
        <v>12</v>
      </c>
      <c r="D53" s="3">
        <v>16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2</v>
      </c>
      <c r="L53" s="3">
        <v>0</v>
      </c>
      <c r="M53" s="3">
        <v>9</v>
      </c>
      <c r="N53" s="3">
        <v>5</v>
      </c>
    </row>
    <row r="54" spans="1:14" x14ac:dyDescent="0.2">
      <c r="A54" t="s">
        <v>33</v>
      </c>
      <c r="B54" t="s">
        <v>18</v>
      </c>
      <c r="C54" s="2" t="s">
        <v>12</v>
      </c>
      <c r="D54" s="3">
        <v>20</v>
      </c>
      <c r="E54" s="3">
        <v>3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 t="s">
        <v>13</v>
      </c>
      <c r="M54" s="3">
        <v>10</v>
      </c>
      <c r="N54" s="3">
        <v>5</v>
      </c>
    </row>
    <row r="55" spans="1:14" x14ac:dyDescent="0.2">
      <c r="A55" t="s">
        <v>33</v>
      </c>
      <c r="B55" t="s">
        <v>19</v>
      </c>
      <c r="C55" s="2" t="s">
        <v>12</v>
      </c>
      <c r="D55" s="3">
        <v>16</v>
      </c>
      <c r="E55" s="3">
        <v>1</v>
      </c>
      <c r="F55" s="3">
        <v>0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>
        <v>12</v>
      </c>
      <c r="N55" s="3">
        <v>2</v>
      </c>
    </row>
    <row r="56" spans="1:14" x14ac:dyDescent="0.2">
      <c r="A56" t="s">
        <v>33</v>
      </c>
      <c r="B56" t="s">
        <v>20</v>
      </c>
      <c r="C56" s="2" t="s">
        <v>12</v>
      </c>
      <c r="D56" s="3">
        <v>4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 t="s">
        <v>13</v>
      </c>
      <c r="M56" s="3">
        <v>3</v>
      </c>
      <c r="N56" s="3">
        <v>1</v>
      </c>
    </row>
    <row r="57" spans="1:14" x14ac:dyDescent="0.2">
      <c r="A57" t="s">
        <v>33</v>
      </c>
      <c r="B57" t="s">
        <v>21</v>
      </c>
      <c r="C57" s="2" t="s">
        <v>12</v>
      </c>
      <c r="D57" s="3">
        <v>10</v>
      </c>
      <c r="E57" s="3">
        <v>0</v>
      </c>
      <c r="F57" s="3">
        <v>1</v>
      </c>
      <c r="G57" s="3">
        <v>1</v>
      </c>
      <c r="H57" s="3">
        <v>1</v>
      </c>
      <c r="I57" s="3">
        <v>2</v>
      </c>
      <c r="J57" s="3">
        <v>0</v>
      </c>
      <c r="K57" s="7">
        <v>0</v>
      </c>
      <c r="L57" s="7">
        <v>0</v>
      </c>
      <c r="M57" s="7">
        <v>4</v>
      </c>
      <c r="N57" s="7">
        <v>1</v>
      </c>
    </row>
    <row r="58" spans="1:14" x14ac:dyDescent="0.2">
      <c r="A58" t="s">
        <v>33</v>
      </c>
      <c r="B58" t="s">
        <v>26</v>
      </c>
      <c r="C58" s="2" t="s">
        <v>12</v>
      </c>
      <c r="D58" s="3">
        <v>10</v>
      </c>
      <c r="E58" s="3">
        <v>2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7">
        <v>0</v>
      </c>
      <c r="L58" s="7">
        <v>0</v>
      </c>
      <c r="M58" s="7">
        <v>6</v>
      </c>
      <c r="N58" s="7">
        <v>1</v>
      </c>
    </row>
    <row r="59" spans="1:14" x14ac:dyDescent="0.2">
      <c r="A59" t="s">
        <v>33</v>
      </c>
      <c r="B59" t="s">
        <v>23</v>
      </c>
      <c r="C59" s="2" t="s">
        <v>12</v>
      </c>
      <c r="D59" s="3">
        <v>17</v>
      </c>
      <c r="E59" s="3">
        <v>2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13</v>
      </c>
      <c r="M59" s="3">
        <v>14</v>
      </c>
      <c r="N59" s="3">
        <v>1</v>
      </c>
    </row>
    <row r="60" spans="1:14" x14ac:dyDescent="0.2">
      <c r="A60" t="s">
        <v>33</v>
      </c>
      <c r="B60" t="s">
        <v>24</v>
      </c>
      <c r="C60" s="4" t="s">
        <v>12</v>
      </c>
      <c r="D60" s="5">
        <v>12</v>
      </c>
      <c r="E60" s="5">
        <v>1</v>
      </c>
      <c r="F60" s="5">
        <v>1</v>
      </c>
      <c r="G60" s="5">
        <v>0</v>
      </c>
      <c r="H60" s="5">
        <v>2</v>
      </c>
      <c r="I60" s="5">
        <v>1</v>
      </c>
      <c r="J60" s="5">
        <v>0</v>
      </c>
      <c r="K60" s="5">
        <v>0</v>
      </c>
      <c r="L60" s="5" t="s">
        <v>13</v>
      </c>
      <c r="M60" s="5">
        <v>5</v>
      </c>
      <c r="N60" s="5">
        <v>2</v>
      </c>
    </row>
    <row r="61" spans="1:14" x14ac:dyDescent="0.2">
      <c r="C61" s="4"/>
      <c r="D61" s="13">
        <f>SUM(D52:D60)</f>
        <v>125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">
      <c r="A62" t="s">
        <v>34</v>
      </c>
      <c r="B62" t="s">
        <v>14</v>
      </c>
      <c r="C62" s="4" t="s">
        <v>12</v>
      </c>
      <c r="D62" s="3">
        <v>1978</v>
      </c>
      <c r="E62" s="3">
        <v>155</v>
      </c>
      <c r="F62" s="3">
        <v>80</v>
      </c>
      <c r="G62" s="3">
        <v>6</v>
      </c>
      <c r="H62" s="3">
        <v>119</v>
      </c>
      <c r="I62" s="3">
        <v>93</v>
      </c>
      <c r="J62" s="3">
        <v>15</v>
      </c>
      <c r="K62" s="3">
        <v>7</v>
      </c>
      <c r="L62" s="3" t="s">
        <v>13</v>
      </c>
      <c r="M62" s="3">
        <v>1103</v>
      </c>
      <c r="N62" s="3">
        <v>400</v>
      </c>
    </row>
    <row r="63" spans="1:14" x14ac:dyDescent="0.2">
      <c r="A63" t="s">
        <v>34</v>
      </c>
      <c r="B63" t="s">
        <v>16</v>
      </c>
      <c r="C63" s="2" t="s">
        <v>12</v>
      </c>
      <c r="D63" s="3">
        <v>1944</v>
      </c>
      <c r="E63" s="3">
        <v>199</v>
      </c>
      <c r="F63" s="3">
        <v>104</v>
      </c>
      <c r="G63" s="3">
        <v>3</v>
      </c>
      <c r="H63" s="3">
        <v>100</v>
      </c>
      <c r="I63" s="3">
        <v>90</v>
      </c>
      <c r="J63" s="3">
        <v>25</v>
      </c>
      <c r="K63" s="3">
        <v>46</v>
      </c>
      <c r="L63" s="3">
        <v>0</v>
      </c>
      <c r="M63" s="3">
        <v>967</v>
      </c>
      <c r="N63" s="3">
        <v>410</v>
      </c>
    </row>
    <row r="64" spans="1:14" x14ac:dyDescent="0.2">
      <c r="A64" t="s">
        <v>34</v>
      </c>
      <c r="B64" t="s">
        <v>18</v>
      </c>
      <c r="C64" s="2" t="s">
        <v>12</v>
      </c>
      <c r="D64" s="3">
        <v>2452</v>
      </c>
      <c r="E64" s="3">
        <v>187</v>
      </c>
      <c r="F64" s="3">
        <v>98</v>
      </c>
      <c r="G64" s="3">
        <v>1</v>
      </c>
      <c r="H64" s="3">
        <v>100</v>
      </c>
      <c r="I64" s="3">
        <v>135</v>
      </c>
      <c r="J64" s="3">
        <v>23</v>
      </c>
      <c r="K64" s="3">
        <v>49</v>
      </c>
      <c r="L64" s="3" t="s">
        <v>13</v>
      </c>
      <c r="M64" s="3">
        <v>1380</v>
      </c>
      <c r="N64" s="3">
        <v>479</v>
      </c>
    </row>
    <row r="65" spans="1:14" x14ac:dyDescent="0.2">
      <c r="A65" t="s">
        <v>34</v>
      </c>
      <c r="B65" t="s">
        <v>19</v>
      </c>
      <c r="C65" s="2" t="s">
        <v>12</v>
      </c>
      <c r="D65" s="3">
        <v>2434</v>
      </c>
      <c r="E65" s="3">
        <v>163</v>
      </c>
      <c r="F65" s="3">
        <v>124</v>
      </c>
      <c r="G65" s="3">
        <v>5</v>
      </c>
      <c r="H65" s="3">
        <v>126</v>
      </c>
      <c r="I65" s="3">
        <v>169</v>
      </c>
      <c r="J65" s="3">
        <v>20</v>
      </c>
      <c r="K65" s="3">
        <v>15</v>
      </c>
      <c r="L65" s="3">
        <v>0</v>
      </c>
      <c r="M65" s="3">
        <v>1414</v>
      </c>
      <c r="N65" s="3">
        <v>398</v>
      </c>
    </row>
    <row r="66" spans="1:14" x14ac:dyDescent="0.2">
      <c r="A66" t="s">
        <v>34</v>
      </c>
      <c r="B66" t="s">
        <v>20</v>
      </c>
      <c r="C66" s="2" t="s">
        <v>12</v>
      </c>
      <c r="D66" s="3">
        <v>2437</v>
      </c>
      <c r="E66" s="3">
        <v>163</v>
      </c>
      <c r="F66" s="3">
        <v>139</v>
      </c>
      <c r="G66" s="3">
        <v>12</v>
      </c>
      <c r="H66" s="3">
        <v>144</v>
      </c>
      <c r="I66" s="3">
        <v>165</v>
      </c>
      <c r="J66" s="3">
        <v>4</v>
      </c>
      <c r="K66" s="3">
        <v>3</v>
      </c>
      <c r="L66" s="3" t="s">
        <v>13</v>
      </c>
      <c r="M66" s="3">
        <v>1361</v>
      </c>
      <c r="N66" s="3">
        <v>446</v>
      </c>
    </row>
    <row r="67" spans="1:14" x14ac:dyDescent="0.2">
      <c r="A67" t="s">
        <v>34</v>
      </c>
      <c r="B67" t="s">
        <v>21</v>
      </c>
      <c r="C67" s="2" t="s">
        <v>12</v>
      </c>
      <c r="D67" s="3">
        <v>2235</v>
      </c>
      <c r="E67" s="3">
        <v>175</v>
      </c>
      <c r="F67" s="3">
        <v>144</v>
      </c>
      <c r="G67" s="3">
        <v>11</v>
      </c>
      <c r="H67" s="3">
        <v>124</v>
      </c>
      <c r="I67" s="3">
        <v>174</v>
      </c>
      <c r="J67" s="3">
        <v>1</v>
      </c>
      <c r="K67" s="7">
        <v>14</v>
      </c>
      <c r="L67" s="7">
        <v>0</v>
      </c>
      <c r="M67" s="7">
        <v>1280</v>
      </c>
      <c r="N67" s="7">
        <v>312</v>
      </c>
    </row>
    <row r="68" spans="1:14" x14ac:dyDescent="0.2">
      <c r="A68" t="s">
        <v>34</v>
      </c>
      <c r="B68" t="s">
        <v>26</v>
      </c>
      <c r="C68" s="2" t="s">
        <v>12</v>
      </c>
      <c r="D68" s="3">
        <v>2050</v>
      </c>
      <c r="E68" s="3">
        <v>176</v>
      </c>
      <c r="F68" s="3">
        <v>144</v>
      </c>
      <c r="G68" s="3">
        <v>5</v>
      </c>
      <c r="H68" s="3">
        <v>136</v>
      </c>
      <c r="I68" s="3">
        <v>151</v>
      </c>
      <c r="J68" s="3">
        <v>7</v>
      </c>
      <c r="K68" s="7">
        <v>15</v>
      </c>
      <c r="L68" s="7">
        <v>0</v>
      </c>
      <c r="M68" s="7">
        <v>1128</v>
      </c>
      <c r="N68" s="7">
        <v>288</v>
      </c>
    </row>
    <row r="69" spans="1:14" x14ac:dyDescent="0.2">
      <c r="A69" t="s">
        <v>34</v>
      </c>
      <c r="B69" t="s">
        <v>23</v>
      </c>
      <c r="C69" s="2" t="s">
        <v>12</v>
      </c>
      <c r="D69" s="3">
        <v>1964</v>
      </c>
      <c r="E69" s="3">
        <v>166</v>
      </c>
      <c r="F69" s="3">
        <v>150</v>
      </c>
      <c r="G69" s="3">
        <v>4</v>
      </c>
      <c r="H69" s="3">
        <v>124</v>
      </c>
      <c r="I69" s="3">
        <v>150</v>
      </c>
      <c r="J69" s="3">
        <v>3</v>
      </c>
      <c r="K69" s="3">
        <v>10</v>
      </c>
      <c r="L69" s="3" t="s">
        <v>13</v>
      </c>
      <c r="M69" s="3">
        <v>1105</v>
      </c>
      <c r="N69" s="3">
        <v>252</v>
      </c>
    </row>
    <row r="70" spans="1:14" x14ac:dyDescent="0.2">
      <c r="A70" t="s">
        <v>34</v>
      </c>
      <c r="B70" t="s">
        <v>24</v>
      </c>
      <c r="C70" s="4" t="s">
        <v>12</v>
      </c>
      <c r="D70" s="5">
        <v>1844</v>
      </c>
      <c r="E70" s="5">
        <v>168</v>
      </c>
      <c r="F70" s="5">
        <v>177</v>
      </c>
      <c r="G70" s="5">
        <v>8</v>
      </c>
      <c r="H70" s="5">
        <v>90</v>
      </c>
      <c r="I70" s="5">
        <v>97</v>
      </c>
      <c r="J70" s="5">
        <v>5</v>
      </c>
      <c r="K70" s="5">
        <v>6</v>
      </c>
      <c r="L70" s="5" t="s">
        <v>13</v>
      </c>
      <c r="M70" s="5">
        <v>1059</v>
      </c>
      <c r="N70" s="5">
        <v>234</v>
      </c>
    </row>
    <row r="71" spans="1:14" x14ac:dyDescent="0.2">
      <c r="C71" s="4"/>
      <c r="D71" s="13">
        <f>SUM(D2:D70)</f>
        <v>40552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">
      <c r="A72" t="s">
        <v>29</v>
      </c>
      <c r="B72" t="s">
        <v>14</v>
      </c>
      <c r="C72" s="4" t="s">
        <v>15</v>
      </c>
      <c r="D72" s="3">
        <v>2467</v>
      </c>
      <c r="E72" s="3">
        <v>330</v>
      </c>
      <c r="F72" s="3">
        <v>180</v>
      </c>
      <c r="G72" s="3">
        <v>10</v>
      </c>
      <c r="H72" s="3">
        <v>118</v>
      </c>
      <c r="I72" s="3">
        <v>96</v>
      </c>
      <c r="J72" s="3">
        <v>109</v>
      </c>
      <c r="K72" s="3">
        <v>333</v>
      </c>
      <c r="L72" s="3">
        <v>59</v>
      </c>
      <c r="M72" s="3">
        <v>855</v>
      </c>
      <c r="N72" s="3">
        <v>377</v>
      </c>
    </row>
    <row r="73" spans="1:14" x14ac:dyDescent="0.2">
      <c r="A73" t="s">
        <v>29</v>
      </c>
      <c r="B73" t="s">
        <v>17</v>
      </c>
      <c r="C73" s="2" t="s">
        <v>15</v>
      </c>
      <c r="D73" s="3">
        <v>2537</v>
      </c>
      <c r="E73" s="3">
        <v>413</v>
      </c>
      <c r="F73" s="3">
        <v>195</v>
      </c>
      <c r="G73" s="3">
        <v>7</v>
      </c>
      <c r="H73" s="3">
        <v>87</v>
      </c>
      <c r="I73" s="3">
        <v>111</v>
      </c>
      <c r="J73" s="3">
        <v>113</v>
      </c>
      <c r="K73" s="3">
        <v>313</v>
      </c>
      <c r="L73" s="3">
        <v>33</v>
      </c>
      <c r="M73" s="3">
        <v>896</v>
      </c>
      <c r="N73" s="3">
        <v>369</v>
      </c>
    </row>
    <row r="74" spans="1:14" x14ac:dyDescent="0.2">
      <c r="A74" t="s">
        <v>29</v>
      </c>
      <c r="B74" t="s">
        <v>18</v>
      </c>
      <c r="C74" s="2" t="s">
        <v>15</v>
      </c>
      <c r="D74" s="3">
        <v>2824</v>
      </c>
      <c r="E74" s="3">
        <v>356</v>
      </c>
      <c r="F74" s="3">
        <v>183</v>
      </c>
      <c r="G74" s="3">
        <v>15</v>
      </c>
      <c r="H74" s="3">
        <v>113</v>
      </c>
      <c r="I74" s="3">
        <v>133</v>
      </c>
      <c r="J74" s="3">
        <v>130</v>
      </c>
      <c r="K74" s="3">
        <v>389</v>
      </c>
      <c r="L74" s="3">
        <v>27</v>
      </c>
      <c r="M74" s="3">
        <v>1107</v>
      </c>
      <c r="N74" s="3">
        <v>371</v>
      </c>
    </row>
    <row r="75" spans="1:14" x14ac:dyDescent="0.2">
      <c r="A75" t="s">
        <v>29</v>
      </c>
      <c r="B75" t="s">
        <v>19</v>
      </c>
      <c r="C75" s="2" t="s">
        <v>15</v>
      </c>
      <c r="D75" s="3">
        <v>2871</v>
      </c>
      <c r="E75" s="3">
        <v>392</v>
      </c>
      <c r="F75" s="3">
        <v>200</v>
      </c>
      <c r="G75" s="3">
        <v>14</v>
      </c>
      <c r="H75" s="3">
        <v>127</v>
      </c>
      <c r="I75" s="3">
        <v>128</v>
      </c>
      <c r="J75" s="3">
        <v>174</v>
      </c>
      <c r="K75" s="3">
        <v>285</v>
      </c>
      <c r="L75" s="3">
        <v>28</v>
      </c>
      <c r="M75" s="3">
        <v>1098</v>
      </c>
      <c r="N75" s="3">
        <v>425</v>
      </c>
    </row>
    <row r="76" spans="1:14" x14ac:dyDescent="0.2">
      <c r="A76" t="s">
        <v>29</v>
      </c>
      <c r="B76" t="s">
        <v>20</v>
      </c>
      <c r="C76" s="2" t="s">
        <v>15</v>
      </c>
      <c r="D76" s="3">
        <v>2756</v>
      </c>
      <c r="E76" s="3">
        <v>370</v>
      </c>
      <c r="F76" s="3">
        <v>232</v>
      </c>
      <c r="G76" s="3">
        <v>11</v>
      </c>
      <c r="H76" s="3">
        <v>128</v>
      </c>
      <c r="I76" s="3">
        <v>107</v>
      </c>
      <c r="J76" s="3">
        <v>158</v>
      </c>
      <c r="K76" s="3">
        <v>279</v>
      </c>
      <c r="L76" s="3">
        <v>30</v>
      </c>
      <c r="M76" s="3">
        <v>1085</v>
      </c>
      <c r="N76" s="3">
        <v>356</v>
      </c>
    </row>
    <row r="77" spans="1:14" x14ac:dyDescent="0.2">
      <c r="A77" t="s">
        <v>29</v>
      </c>
      <c r="B77" t="s">
        <v>22</v>
      </c>
      <c r="C77" s="2" t="s">
        <v>15</v>
      </c>
      <c r="D77" s="3">
        <v>2670</v>
      </c>
      <c r="E77" s="3">
        <v>378</v>
      </c>
      <c r="F77" s="3">
        <v>259</v>
      </c>
      <c r="G77" s="3">
        <v>10</v>
      </c>
      <c r="H77" s="3">
        <v>118</v>
      </c>
      <c r="I77" s="3">
        <v>127</v>
      </c>
      <c r="J77" s="3">
        <v>153</v>
      </c>
      <c r="K77" s="3">
        <v>233</v>
      </c>
      <c r="L77" s="3">
        <v>27</v>
      </c>
      <c r="M77" s="3">
        <v>1021</v>
      </c>
      <c r="N77" s="3">
        <v>344</v>
      </c>
    </row>
    <row r="78" spans="1:14" x14ac:dyDescent="0.2">
      <c r="A78" t="s">
        <v>29</v>
      </c>
      <c r="B78" t="s">
        <v>26</v>
      </c>
      <c r="C78" s="2" t="s">
        <v>15</v>
      </c>
      <c r="D78" s="3">
        <v>2603</v>
      </c>
      <c r="E78" s="3">
        <v>347</v>
      </c>
      <c r="F78" s="3">
        <v>245</v>
      </c>
      <c r="G78" s="3">
        <v>18</v>
      </c>
      <c r="H78" s="3">
        <v>128</v>
      </c>
      <c r="I78" s="3">
        <v>125</v>
      </c>
      <c r="J78" s="3">
        <v>180</v>
      </c>
      <c r="K78" s="3">
        <v>216</v>
      </c>
      <c r="L78" s="3">
        <v>25</v>
      </c>
      <c r="M78" s="3">
        <v>1007</v>
      </c>
      <c r="N78" s="3">
        <v>312</v>
      </c>
    </row>
    <row r="79" spans="1:14" x14ac:dyDescent="0.2">
      <c r="A79" t="s">
        <v>29</v>
      </c>
      <c r="B79" t="s">
        <v>23</v>
      </c>
      <c r="C79" s="2" t="s">
        <v>15</v>
      </c>
      <c r="D79" s="3">
        <v>2633</v>
      </c>
      <c r="E79" s="3">
        <v>364</v>
      </c>
      <c r="F79" s="3">
        <v>275</v>
      </c>
      <c r="G79" s="3">
        <v>14</v>
      </c>
      <c r="H79" s="3">
        <v>111</v>
      </c>
      <c r="I79" s="3">
        <v>105</v>
      </c>
      <c r="J79" s="3">
        <v>173</v>
      </c>
      <c r="K79" s="3">
        <v>214</v>
      </c>
      <c r="L79" s="3">
        <v>28</v>
      </c>
      <c r="M79" s="3">
        <v>1021</v>
      </c>
      <c r="N79" s="3">
        <v>328</v>
      </c>
    </row>
    <row r="80" spans="1:14" x14ac:dyDescent="0.2">
      <c r="A80" t="s">
        <v>29</v>
      </c>
      <c r="B80" t="s">
        <v>25</v>
      </c>
      <c r="C80" s="4" t="s">
        <v>15</v>
      </c>
      <c r="D80" s="5">
        <v>2422</v>
      </c>
      <c r="E80" s="5">
        <v>312</v>
      </c>
      <c r="F80" s="5">
        <v>244</v>
      </c>
      <c r="G80" s="5">
        <v>17</v>
      </c>
      <c r="H80" s="5">
        <v>115</v>
      </c>
      <c r="I80" s="5">
        <v>92</v>
      </c>
      <c r="J80" s="5">
        <v>168</v>
      </c>
      <c r="K80" s="5">
        <v>218</v>
      </c>
      <c r="L80" s="5">
        <v>38</v>
      </c>
      <c r="M80" s="5">
        <v>945</v>
      </c>
      <c r="N80" s="5">
        <v>273</v>
      </c>
    </row>
    <row r="81" spans="1:14" x14ac:dyDescent="0.2">
      <c r="C81" s="4"/>
      <c r="D81" s="13">
        <f>SUM(D72:D80)</f>
        <v>23783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">
      <c r="A82" t="s">
        <v>30</v>
      </c>
      <c r="B82" t="s">
        <v>14</v>
      </c>
      <c r="C82" s="4" t="s">
        <v>15</v>
      </c>
      <c r="D82" s="3">
        <v>18187</v>
      </c>
      <c r="E82" s="3">
        <v>827</v>
      </c>
      <c r="F82" s="3">
        <v>1217</v>
      </c>
      <c r="G82" s="3">
        <v>33</v>
      </c>
      <c r="H82" s="3">
        <v>918</v>
      </c>
      <c r="I82" s="3">
        <v>604</v>
      </c>
      <c r="J82" s="3">
        <v>676</v>
      </c>
      <c r="K82" s="3">
        <v>3635</v>
      </c>
      <c r="L82" s="3">
        <v>1125</v>
      </c>
      <c r="M82" s="3">
        <v>6058</v>
      </c>
      <c r="N82" s="3">
        <v>3094</v>
      </c>
    </row>
    <row r="83" spans="1:14" x14ac:dyDescent="0.2">
      <c r="A83" t="s">
        <v>30</v>
      </c>
      <c r="B83" t="s">
        <v>16</v>
      </c>
      <c r="C83" s="2" t="s">
        <v>15</v>
      </c>
      <c r="D83" s="3">
        <v>16139</v>
      </c>
      <c r="E83" s="3">
        <v>1049</v>
      </c>
      <c r="F83" s="3">
        <v>974</v>
      </c>
      <c r="G83" s="3">
        <v>30</v>
      </c>
      <c r="H83" s="3">
        <v>747</v>
      </c>
      <c r="I83" s="3">
        <v>563</v>
      </c>
      <c r="J83" s="3">
        <v>615</v>
      </c>
      <c r="K83" s="3">
        <v>3046</v>
      </c>
      <c r="L83" s="3">
        <v>911</v>
      </c>
      <c r="M83" s="3">
        <v>5438</v>
      </c>
      <c r="N83" s="3">
        <v>2766</v>
      </c>
    </row>
    <row r="84" spans="1:14" x14ac:dyDescent="0.2">
      <c r="A84" t="s">
        <v>30</v>
      </c>
      <c r="B84" t="s">
        <v>18</v>
      </c>
      <c r="C84" s="2" t="s">
        <v>15</v>
      </c>
      <c r="D84" s="3">
        <v>18873</v>
      </c>
      <c r="E84" s="3">
        <v>792</v>
      </c>
      <c r="F84" s="3">
        <v>1504</v>
      </c>
      <c r="G84" s="3">
        <v>28</v>
      </c>
      <c r="H84" s="3">
        <v>895</v>
      </c>
      <c r="I84" s="3">
        <v>684</v>
      </c>
      <c r="J84" s="3">
        <v>824</v>
      </c>
      <c r="K84" s="3">
        <v>3425</v>
      </c>
      <c r="L84" s="3">
        <v>780</v>
      </c>
      <c r="M84" s="3">
        <v>6878</v>
      </c>
      <c r="N84" s="3">
        <v>3063</v>
      </c>
    </row>
    <row r="85" spans="1:14" x14ac:dyDescent="0.2">
      <c r="A85" t="s">
        <v>30</v>
      </c>
      <c r="B85" t="s">
        <v>19</v>
      </c>
      <c r="C85" s="2" t="s">
        <v>15</v>
      </c>
      <c r="D85" s="3">
        <v>18227</v>
      </c>
      <c r="E85" s="3">
        <v>651</v>
      </c>
      <c r="F85" s="3">
        <v>1505</v>
      </c>
      <c r="G85" s="3">
        <v>26</v>
      </c>
      <c r="H85" s="3">
        <v>1081</v>
      </c>
      <c r="I85" s="3">
        <v>564</v>
      </c>
      <c r="J85" s="3">
        <v>975</v>
      </c>
      <c r="K85" s="3">
        <v>2789</v>
      </c>
      <c r="L85" s="3">
        <v>666</v>
      </c>
      <c r="M85" s="3">
        <v>7037</v>
      </c>
      <c r="N85" s="3">
        <v>2933</v>
      </c>
    </row>
    <row r="86" spans="1:14" x14ac:dyDescent="0.2">
      <c r="A86" t="s">
        <v>30</v>
      </c>
      <c r="B86" t="s">
        <v>20</v>
      </c>
      <c r="C86" s="2" t="s">
        <v>15</v>
      </c>
      <c r="D86" s="3">
        <v>16696</v>
      </c>
      <c r="E86" s="3">
        <v>638</v>
      </c>
      <c r="F86" s="3">
        <v>1501</v>
      </c>
      <c r="G86" s="3">
        <v>33</v>
      </c>
      <c r="H86" s="3">
        <v>1018</v>
      </c>
      <c r="I86" s="3">
        <v>543</v>
      </c>
      <c r="J86" s="3">
        <v>917</v>
      </c>
      <c r="K86" s="3">
        <v>2585</v>
      </c>
      <c r="L86" s="3">
        <v>696</v>
      </c>
      <c r="M86" s="3">
        <v>6134</v>
      </c>
      <c r="N86" s="3">
        <v>2631</v>
      </c>
    </row>
    <row r="87" spans="1:14" x14ac:dyDescent="0.2">
      <c r="A87" t="s">
        <v>30</v>
      </c>
      <c r="B87" t="s">
        <v>21</v>
      </c>
      <c r="C87" s="2" t="s">
        <v>15</v>
      </c>
      <c r="D87" s="3">
        <v>15307</v>
      </c>
      <c r="E87" s="3">
        <v>660</v>
      </c>
      <c r="F87" s="3">
        <v>1509</v>
      </c>
      <c r="G87" s="3">
        <v>37</v>
      </c>
      <c r="H87" s="3">
        <v>963</v>
      </c>
      <c r="I87" s="3">
        <v>468</v>
      </c>
      <c r="J87" s="3">
        <v>791</v>
      </c>
      <c r="K87" s="3">
        <v>2008</v>
      </c>
      <c r="L87" s="3">
        <v>895</v>
      </c>
      <c r="M87" s="3">
        <v>5774</v>
      </c>
      <c r="N87" s="3">
        <v>2202</v>
      </c>
    </row>
    <row r="88" spans="1:14" x14ac:dyDescent="0.2">
      <c r="A88" t="s">
        <v>30</v>
      </c>
      <c r="B88" t="s">
        <v>27</v>
      </c>
      <c r="C88" s="2" t="s">
        <v>15</v>
      </c>
      <c r="D88" s="3">
        <v>12847</v>
      </c>
      <c r="E88" s="3">
        <v>520</v>
      </c>
      <c r="F88" s="3">
        <v>2084</v>
      </c>
      <c r="G88" s="3">
        <v>30</v>
      </c>
      <c r="H88" s="3">
        <v>821</v>
      </c>
      <c r="I88" s="3">
        <v>361</v>
      </c>
      <c r="J88" s="3">
        <v>738</v>
      </c>
      <c r="K88" s="3">
        <v>1449</v>
      </c>
      <c r="L88" s="3">
        <v>805</v>
      </c>
      <c r="M88" s="3">
        <v>4291</v>
      </c>
      <c r="N88" s="3">
        <v>1748</v>
      </c>
    </row>
    <row r="89" spans="1:14" x14ac:dyDescent="0.2">
      <c r="A89" t="s">
        <v>30</v>
      </c>
      <c r="B89" t="s">
        <v>23</v>
      </c>
      <c r="C89" s="2" t="s">
        <v>15</v>
      </c>
      <c r="D89" s="3">
        <v>15868</v>
      </c>
      <c r="E89" s="3">
        <v>856</v>
      </c>
      <c r="F89" s="3">
        <v>2973</v>
      </c>
      <c r="G89" s="3">
        <v>46</v>
      </c>
      <c r="H89" s="3">
        <v>847</v>
      </c>
      <c r="I89" s="3">
        <v>301</v>
      </c>
      <c r="J89" s="3">
        <v>799</v>
      </c>
      <c r="K89" s="3">
        <v>2166</v>
      </c>
      <c r="L89" s="3">
        <v>691</v>
      </c>
      <c r="M89" s="3">
        <v>5611</v>
      </c>
      <c r="N89" s="3">
        <v>1578</v>
      </c>
    </row>
    <row r="90" spans="1:14" x14ac:dyDescent="0.2">
      <c r="A90" t="s">
        <v>30</v>
      </c>
      <c r="B90" t="s">
        <v>24</v>
      </c>
      <c r="C90" s="4" t="s">
        <v>15</v>
      </c>
      <c r="D90" s="5">
        <v>14108</v>
      </c>
      <c r="E90" s="5">
        <v>566</v>
      </c>
      <c r="F90" s="5">
        <v>1410</v>
      </c>
      <c r="G90" s="5">
        <v>51</v>
      </c>
      <c r="H90" s="5">
        <v>741</v>
      </c>
      <c r="I90" s="5">
        <v>313</v>
      </c>
      <c r="J90" s="5">
        <v>1299</v>
      </c>
      <c r="K90" s="5">
        <v>1745</v>
      </c>
      <c r="L90" s="5">
        <v>642</v>
      </c>
      <c r="M90" s="5">
        <v>5619</v>
      </c>
      <c r="N90" s="5">
        <v>1722</v>
      </c>
    </row>
    <row r="91" spans="1:14" x14ac:dyDescent="0.2">
      <c r="C91" s="4"/>
      <c r="D91" s="13">
        <f>SUM(D82:D90)</f>
        <v>146252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">
      <c r="A92" t="s">
        <v>28</v>
      </c>
      <c r="B92" t="s">
        <v>14</v>
      </c>
      <c r="C92" s="4" t="s">
        <v>15</v>
      </c>
      <c r="D92" s="3">
        <v>51926</v>
      </c>
      <c r="E92" s="3">
        <v>7370</v>
      </c>
      <c r="F92" s="3">
        <v>2765</v>
      </c>
      <c r="G92" s="3">
        <v>149</v>
      </c>
      <c r="H92" s="3">
        <v>1787</v>
      </c>
      <c r="I92" s="3">
        <v>1486</v>
      </c>
      <c r="J92" s="3">
        <v>1679</v>
      </c>
      <c r="K92" s="3">
        <v>10064</v>
      </c>
      <c r="L92" s="3">
        <v>3077</v>
      </c>
      <c r="M92" s="3">
        <v>17099</v>
      </c>
      <c r="N92" s="3">
        <v>6450</v>
      </c>
    </row>
    <row r="93" spans="1:14" x14ac:dyDescent="0.2">
      <c r="A93" t="s">
        <v>28</v>
      </c>
      <c r="B93" t="s">
        <v>16</v>
      </c>
      <c r="C93" s="4" t="s">
        <v>15</v>
      </c>
      <c r="D93" s="3">
        <v>48123</v>
      </c>
      <c r="E93" s="3">
        <v>7704</v>
      </c>
      <c r="F93" s="3">
        <v>2773</v>
      </c>
      <c r="G93" s="3">
        <v>137</v>
      </c>
      <c r="H93" s="3">
        <v>1466</v>
      </c>
      <c r="I93" s="3">
        <v>1570</v>
      </c>
      <c r="J93" s="3">
        <v>1597</v>
      </c>
      <c r="K93" s="3">
        <v>10445</v>
      </c>
      <c r="L93" s="3">
        <v>2658</v>
      </c>
      <c r="M93" s="3">
        <v>13710</v>
      </c>
      <c r="N93" s="3">
        <v>6063</v>
      </c>
    </row>
    <row r="94" spans="1:14" x14ac:dyDescent="0.2">
      <c r="A94" t="s">
        <v>28</v>
      </c>
      <c r="B94" t="s">
        <v>18</v>
      </c>
      <c r="C94" s="2" t="s">
        <v>15</v>
      </c>
      <c r="D94" s="3">
        <v>51415</v>
      </c>
      <c r="E94" s="3">
        <v>6525</v>
      </c>
      <c r="F94" s="3">
        <v>3685</v>
      </c>
      <c r="G94" s="3">
        <v>178</v>
      </c>
      <c r="H94" s="3">
        <v>1537</v>
      </c>
      <c r="I94" s="3">
        <v>1652</v>
      </c>
      <c r="J94" s="3">
        <v>2057</v>
      </c>
      <c r="K94" s="3">
        <v>10120</v>
      </c>
      <c r="L94" s="3">
        <v>2231</v>
      </c>
      <c r="M94" s="3">
        <v>17383</v>
      </c>
      <c r="N94" s="3">
        <v>6047</v>
      </c>
    </row>
    <row r="95" spans="1:14" x14ac:dyDescent="0.2">
      <c r="A95" t="s">
        <v>28</v>
      </c>
      <c r="B95" t="s">
        <v>19</v>
      </c>
      <c r="C95" s="2" t="s">
        <v>15</v>
      </c>
      <c r="D95" s="3">
        <v>48492</v>
      </c>
      <c r="E95" s="3">
        <v>5937</v>
      </c>
      <c r="F95" s="3">
        <v>3799</v>
      </c>
      <c r="G95" s="3">
        <v>183</v>
      </c>
      <c r="H95" s="3">
        <v>1748</v>
      </c>
      <c r="I95" s="3">
        <v>1537</v>
      </c>
      <c r="J95" s="3">
        <v>2120</v>
      </c>
      <c r="K95" s="3">
        <v>8021</v>
      </c>
      <c r="L95" s="3">
        <v>1958</v>
      </c>
      <c r="M95" s="3">
        <v>17180</v>
      </c>
      <c r="N95" s="3">
        <v>6009</v>
      </c>
    </row>
    <row r="96" spans="1:14" x14ac:dyDescent="0.2">
      <c r="A96" t="s">
        <v>28</v>
      </c>
      <c r="B96" t="s">
        <v>20</v>
      </c>
      <c r="C96" s="2" t="s">
        <v>15</v>
      </c>
      <c r="D96" s="3">
        <v>45150</v>
      </c>
      <c r="E96" s="3">
        <v>5683</v>
      </c>
      <c r="F96" s="3">
        <v>3721</v>
      </c>
      <c r="G96" s="3">
        <v>183</v>
      </c>
      <c r="H96" s="3">
        <v>1723</v>
      </c>
      <c r="I96" s="3">
        <v>1519</v>
      </c>
      <c r="J96" s="3">
        <v>2144</v>
      </c>
      <c r="K96" s="3">
        <v>7439</v>
      </c>
      <c r="L96" s="3">
        <v>1972</v>
      </c>
      <c r="M96" s="3">
        <v>15446</v>
      </c>
      <c r="N96" s="3">
        <v>5320</v>
      </c>
    </row>
    <row r="97" spans="1:14" x14ac:dyDescent="0.2">
      <c r="A97" t="s">
        <v>28</v>
      </c>
      <c r="B97" t="s">
        <v>21</v>
      </c>
      <c r="C97" s="2" t="s">
        <v>15</v>
      </c>
      <c r="D97" s="3">
        <v>42490</v>
      </c>
      <c r="E97" s="3">
        <v>5526</v>
      </c>
      <c r="F97" s="3">
        <v>3832</v>
      </c>
      <c r="G97" s="3">
        <v>213</v>
      </c>
      <c r="H97" s="3">
        <v>1583</v>
      </c>
      <c r="I97" s="3">
        <v>1354</v>
      </c>
      <c r="J97" s="3">
        <v>2012</v>
      </c>
      <c r="K97" s="3">
        <v>6150</v>
      </c>
      <c r="L97" s="3">
        <v>2218</v>
      </c>
      <c r="M97" s="3">
        <v>14722</v>
      </c>
      <c r="N97" s="3">
        <v>4880</v>
      </c>
    </row>
    <row r="98" spans="1:14" x14ac:dyDescent="0.2">
      <c r="A98" t="s">
        <v>28</v>
      </c>
      <c r="B98" t="s">
        <v>27</v>
      </c>
      <c r="C98" s="2" t="s">
        <v>15</v>
      </c>
      <c r="D98" s="3">
        <v>42012</v>
      </c>
      <c r="E98" s="3">
        <v>5545</v>
      </c>
      <c r="F98" s="3">
        <v>4378</v>
      </c>
      <c r="G98" s="3">
        <v>226</v>
      </c>
      <c r="H98" s="3">
        <v>1651</v>
      </c>
      <c r="I98" s="3">
        <v>1189</v>
      </c>
      <c r="J98" s="3">
        <v>2157</v>
      </c>
      <c r="K98" s="3">
        <v>5997</v>
      </c>
      <c r="L98" s="3">
        <v>2015</v>
      </c>
      <c r="M98" s="3">
        <v>14281</v>
      </c>
      <c r="N98" s="3">
        <v>4573</v>
      </c>
    </row>
    <row r="99" spans="1:14" x14ac:dyDescent="0.2">
      <c r="A99" t="s">
        <v>28</v>
      </c>
      <c r="B99" t="s">
        <v>23</v>
      </c>
      <c r="C99" s="2" t="s">
        <v>15</v>
      </c>
      <c r="D99" s="3">
        <v>43615</v>
      </c>
      <c r="E99" s="3">
        <v>6029</v>
      </c>
      <c r="F99" s="3">
        <v>5076</v>
      </c>
      <c r="G99" s="3">
        <v>221</v>
      </c>
      <c r="H99" s="3">
        <v>1616</v>
      </c>
      <c r="I99" s="3">
        <v>1272</v>
      </c>
      <c r="J99" s="3">
        <v>2139</v>
      </c>
      <c r="K99" s="3">
        <v>5792</v>
      </c>
      <c r="L99" s="3">
        <v>2027</v>
      </c>
      <c r="M99" s="3">
        <v>15124</v>
      </c>
      <c r="N99" s="3">
        <v>4319</v>
      </c>
    </row>
    <row r="100" spans="1:14" x14ac:dyDescent="0.2">
      <c r="A100" t="s">
        <v>28</v>
      </c>
      <c r="B100" t="s">
        <v>24</v>
      </c>
      <c r="C100" s="4" t="s">
        <v>15</v>
      </c>
      <c r="D100" s="5">
        <v>42650</v>
      </c>
      <c r="E100" s="5">
        <v>5836</v>
      </c>
      <c r="F100" s="5">
        <v>4240</v>
      </c>
      <c r="G100" s="5">
        <v>224</v>
      </c>
      <c r="H100" s="5">
        <v>1537</v>
      </c>
      <c r="I100" s="5">
        <v>1251</v>
      </c>
      <c r="J100" s="5">
        <v>2349</v>
      </c>
      <c r="K100" s="5">
        <v>5659</v>
      </c>
      <c r="L100" s="5">
        <v>1854</v>
      </c>
      <c r="M100" s="5">
        <v>14662</v>
      </c>
      <c r="N100" s="5">
        <v>5038</v>
      </c>
    </row>
    <row r="101" spans="1:14" x14ac:dyDescent="0.2">
      <c r="A101" t="s">
        <v>31</v>
      </c>
      <c r="B101" t="s">
        <v>14</v>
      </c>
      <c r="C101" s="4" t="s">
        <v>15</v>
      </c>
      <c r="D101" s="3">
        <v>106863</v>
      </c>
      <c r="E101" s="3">
        <v>9853</v>
      </c>
      <c r="F101" s="3">
        <v>6184</v>
      </c>
      <c r="G101" s="3">
        <v>210</v>
      </c>
      <c r="H101" s="3">
        <v>3077</v>
      </c>
      <c r="I101" s="3">
        <v>3035</v>
      </c>
      <c r="J101" s="3">
        <v>4438</v>
      </c>
      <c r="K101" s="3">
        <v>24088</v>
      </c>
      <c r="L101" s="3">
        <v>4367</v>
      </c>
      <c r="M101" s="3">
        <v>36786</v>
      </c>
      <c r="N101" s="3">
        <v>14825</v>
      </c>
    </row>
    <row r="102" spans="1:14" x14ac:dyDescent="0.2">
      <c r="C102" s="4"/>
      <c r="D102" s="3">
        <f>SUM(D92:D101)</f>
        <v>522736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t="s">
        <v>31</v>
      </c>
      <c r="B103" t="s">
        <v>16</v>
      </c>
      <c r="C103" s="2" t="s">
        <v>15</v>
      </c>
      <c r="D103" s="3">
        <v>104428</v>
      </c>
      <c r="E103" s="3">
        <v>12071</v>
      </c>
      <c r="F103" s="3">
        <v>5713</v>
      </c>
      <c r="G103" s="3">
        <v>150</v>
      </c>
      <c r="H103" s="3">
        <v>2687</v>
      </c>
      <c r="I103" s="3">
        <v>3114</v>
      </c>
      <c r="J103" s="3">
        <v>4082</v>
      </c>
      <c r="K103" s="3">
        <v>24073</v>
      </c>
      <c r="L103" s="3">
        <v>3801</v>
      </c>
      <c r="M103" s="3">
        <v>33984</v>
      </c>
      <c r="N103" s="3">
        <v>14753</v>
      </c>
    </row>
    <row r="104" spans="1:14" x14ac:dyDescent="0.2">
      <c r="A104" t="s">
        <v>31</v>
      </c>
      <c r="B104" t="s">
        <v>18</v>
      </c>
      <c r="C104" s="2" t="s">
        <v>15</v>
      </c>
      <c r="D104" s="3">
        <v>114354</v>
      </c>
      <c r="E104" s="3">
        <v>9356</v>
      </c>
      <c r="F104" s="3">
        <v>8245</v>
      </c>
      <c r="G104" s="3">
        <v>185</v>
      </c>
      <c r="H104" s="3">
        <v>3123</v>
      </c>
      <c r="I104" s="3">
        <v>3764</v>
      </c>
      <c r="J104" s="3">
        <v>5228</v>
      </c>
      <c r="K104" s="3">
        <v>25725</v>
      </c>
      <c r="L104" s="3">
        <v>3122</v>
      </c>
      <c r="M104" s="3">
        <v>40870</v>
      </c>
      <c r="N104" s="3">
        <v>14736</v>
      </c>
    </row>
    <row r="105" spans="1:14" x14ac:dyDescent="0.2">
      <c r="A105" t="s">
        <v>31</v>
      </c>
      <c r="B105" t="s">
        <v>19</v>
      </c>
      <c r="C105" s="2" t="s">
        <v>15</v>
      </c>
      <c r="D105" s="3">
        <v>109141</v>
      </c>
      <c r="E105" s="3">
        <v>8415</v>
      </c>
      <c r="F105" s="3">
        <v>8711</v>
      </c>
      <c r="G105" s="3">
        <v>204</v>
      </c>
      <c r="H105" s="3">
        <v>3212</v>
      </c>
      <c r="I105" s="3">
        <v>3222</v>
      </c>
      <c r="J105" s="3">
        <v>6084</v>
      </c>
      <c r="K105" s="3">
        <v>20131</v>
      </c>
      <c r="L105" s="3">
        <v>2792</v>
      </c>
      <c r="M105" s="3">
        <v>42593</v>
      </c>
      <c r="N105" s="3">
        <v>13777</v>
      </c>
    </row>
    <row r="106" spans="1:14" x14ac:dyDescent="0.2">
      <c r="A106" t="s">
        <v>31</v>
      </c>
      <c r="B106" t="s">
        <v>20</v>
      </c>
      <c r="C106" s="2" t="s">
        <v>15</v>
      </c>
      <c r="D106" s="3">
        <v>101821</v>
      </c>
      <c r="E106" s="3">
        <v>8212</v>
      </c>
      <c r="F106" s="3">
        <v>8899</v>
      </c>
      <c r="G106" s="3">
        <v>213</v>
      </c>
      <c r="H106" s="3">
        <v>3475</v>
      </c>
      <c r="I106" s="3">
        <v>2893</v>
      </c>
      <c r="J106" s="3">
        <v>6014</v>
      </c>
      <c r="K106" s="3">
        <v>19263</v>
      </c>
      <c r="L106" s="3">
        <v>3021</v>
      </c>
      <c r="M106" s="3">
        <v>37170</v>
      </c>
      <c r="N106" s="3">
        <v>12661</v>
      </c>
    </row>
    <row r="107" spans="1:14" x14ac:dyDescent="0.2">
      <c r="A107" t="s">
        <v>31</v>
      </c>
      <c r="B107" t="s">
        <v>21</v>
      </c>
      <c r="C107" s="2" t="s">
        <v>15</v>
      </c>
      <c r="D107" s="3">
        <v>95294</v>
      </c>
      <c r="E107" s="3">
        <v>8360</v>
      </c>
      <c r="F107" s="3">
        <v>9258</v>
      </c>
      <c r="G107" s="3">
        <v>225</v>
      </c>
      <c r="H107" s="3">
        <v>3092</v>
      </c>
      <c r="I107" s="3">
        <v>2653</v>
      </c>
      <c r="J107" s="3">
        <v>5758</v>
      </c>
      <c r="K107" s="7">
        <v>15568</v>
      </c>
      <c r="L107" s="7">
        <v>3634</v>
      </c>
      <c r="M107" s="7">
        <v>35397</v>
      </c>
      <c r="N107" s="7">
        <v>11349</v>
      </c>
    </row>
    <row r="108" spans="1:14" x14ac:dyDescent="0.2">
      <c r="A108" t="s">
        <v>31</v>
      </c>
      <c r="B108" t="s">
        <v>27</v>
      </c>
      <c r="C108" s="2" t="s">
        <v>15</v>
      </c>
      <c r="D108" s="3">
        <v>81071</v>
      </c>
      <c r="E108" s="3">
        <v>6924</v>
      </c>
      <c r="F108" s="3">
        <v>12819</v>
      </c>
      <c r="G108" s="3">
        <v>178</v>
      </c>
      <c r="H108" s="3">
        <v>2703</v>
      </c>
      <c r="I108" s="3">
        <v>1887</v>
      </c>
      <c r="J108" s="3">
        <v>4789</v>
      </c>
      <c r="K108" s="7">
        <v>12841</v>
      </c>
      <c r="L108" s="7">
        <v>3016</v>
      </c>
      <c r="M108" s="7">
        <v>26924</v>
      </c>
      <c r="N108" s="7">
        <v>8990</v>
      </c>
    </row>
    <row r="109" spans="1:14" x14ac:dyDescent="0.2">
      <c r="A109" t="s">
        <v>31</v>
      </c>
      <c r="B109" t="s">
        <v>23</v>
      </c>
      <c r="C109" s="2" t="s">
        <v>15</v>
      </c>
      <c r="D109" s="3">
        <v>98806</v>
      </c>
      <c r="E109" s="3">
        <v>9218</v>
      </c>
      <c r="F109" s="3">
        <v>19385</v>
      </c>
      <c r="G109" s="3">
        <v>255</v>
      </c>
      <c r="H109" s="3">
        <v>2679</v>
      </c>
      <c r="I109" s="3">
        <v>1885</v>
      </c>
      <c r="J109" s="3">
        <v>5970</v>
      </c>
      <c r="K109" s="3">
        <v>17113</v>
      </c>
      <c r="L109" s="3">
        <v>3083</v>
      </c>
      <c r="M109" s="3">
        <v>31102</v>
      </c>
      <c r="N109" s="3">
        <v>8116</v>
      </c>
    </row>
    <row r="110" spans="1:14" x14ac:dyDescent="0.2">
      <c r="A110" t="s">
        <v>31</v>
      </c>
      <c r="B110" t="s">
        <v>24</v>
      </c>
      <c r="C110" s="4" t="s">
        <v>15</v>
      </c>
      <c r="D110" s="5">
        <v>94193</v>
      </c>
      <c r="E110" s="5">
        <v>7542</v>
      </c>
      <c r="F110" s="5">
        <v>10728</v>
      </c>
      <c r="G110" s="5">
        <v>263</v>
      </c>
      <c r="H110" s="5">
        <v>2651</v>
      </c>
      <c r="I110" s="5">
        <v>1825</v>
      </c>
      <c r="J110" s="5">
        <v>9071</v>
      </c>
      <c r="K110" s="5">
        <v>14614</v>
      </c>
      <c r="L110" s="5">
        <v>3064</v>
      </c>
      <c r="M110" s="5">
        <v>34173</v>
      </c>
      <c r="N110" s="5">
        <v>10262</v>
      </c>
    </row>
    <row r="111" spans="1:14" x14ac:dyDescent="0.2">
      <c r="C111" s="4"/>
      <c r="D111" s="13">
        <f>SUM(D103:D110)</f>
        <v>799108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">
      <c r="A112" t="s">
        <v>32</v>
      </c>
      <c r="B112" t="s">
        <v>14</v>
      </c>
      <c r="C112" s="4" t="s">
        <v>15</v>
      </c>
      <c r="D112" s="3">
        <v>17929</v>
      </c>
      <c r="E112" s="3">
        <v>1460</v>
      </c>
      <c r="F112" s="3">
        <v>2000</v>
      </c>
      <c r="G112" s="3">
        <v>33</v>
      </c>
      <c r="H112" s="3">
        <v>901</v>
      </c>
      <c r="I112" s="3">
        <v>666</v>
      </c>
      <c r="J112" s="3">
        <v>664</v>
      </c>
      <c r="K112" s="3">
        <v>2390</v>
      </c>
      <c r="L112" s="3">
        <v>497</v>
      </c>
      <c r="M112" s="3">
        <v>6401</v>
      </c>
      <c r="N112" s="3">
        <v>2917</v>
      </c>
    </row>
    <row r="113" spans="1:14" x14ac:dyDescent="0.2">
      <c r="A113" t="s">
        <v>32</v>
      </c>
      <c r="B113" t="s">
        <v>16</v>
      </c>
      <c r="C113" s="2" t="s">
        <v>15</v>
      </c>
      <c r="D113" s="3">
        <v>16277</v>
      </c>
      <c r="E113" s="3">
        <v>1785</v>
      </c>
      <c r="F113" s="3">
        <v>1688</v>
      </c>
      <c r="G113" s="3">
        <v>40</v>
      </c>
      <c r="H113" s="3">
        <v>675</v>
      </c>
      <c r="I113" s="3">
        <v>639</v>
      </c>
      <c r="J113" s="3">
        <v>623</v>
      </c>
      <c r="K113" s="3">
        <v>2535</v>
      </c>
      <c r="L113" s="3">
        <v>359</v>
      </c>
      <c r="M113" s="3">
        <v>5445</v>
      </c>
      <c r="N113" s="3">
        <v>2488</v>
      </c>
    </row>
    <row r="114" spans="1:14" x14ac:dyDescent="0.2">
      <c r="A114" t="s">
        <v>32</v>
      </c>
      <c r="B114" t="s">
        <v>18</v>
      </c>
      <c r="C114" s="2" t="s">
        <v>15</v>
      </c>
      <c r="D114" s="3">
        <v>18277</v>
      </c>
      <c r="E114" s="3">
        <v>1406</v>
      </c>
      <c r="F114" s="3">
        <v>2311</v>
      </c>
      <c r="G114" s="3">
        <v>43</v>
      </c>
      <c r="H114" s="3">
        <v>711</v>
      </c>
      <c r="I114" s="3">
        <v>830</v>
      </c>
      <c r="J114" s="3">
        <v>705</v>
      </c>
      <c r="K114" s="3">
        <v>2547</v>
      </c>
      <c r="L114" s="3">
        <v>316</v>
      </c>
      <c r="M114" s="3">
        <v>6652</v>
      </c>
      <c r="N114" s="3">
        <v>2756</v>
      </c>
    </row>
    <row r="115" spans="1:14" x14ac:dyDescent="0.2">
      <c r="A115" t="s">
        <v>32</v>
      </c>
      <c r="B115" t="s">
        <v>19</v>
      </c>
      <c r="C115" s="2" t="s">
        <v>15</v>
      </c>
      <c r="D115" s="3">
        <v>16329</v>
      </c>
      <c r="E115" s="3">
        <v>1228</v>
      </c>
      <c r="F115" s="3">
        <v>2142</v>
      </c>
      <c r="G115" s="3">
        <v>34</v>
      </c>
      <c r="H115" s="3">
        <v>862</v>
      </c>
      <c r="I115" s="3">
        <v>666</v>
      </c>
      <c r="J115" s="3">
        <v>693</v>
      </c>
      <c r="K115" s="3">
        <v>1754</v>
      </c>
      <c r="L115" s="3">
        <v>337</v>
      </c>
      <c r="M115" s="3">
        <v>6187</v>
      </c>
      <c r="N115" s="3">
        <v>2426</v>
      </c>
    </row>
    <row r="116" spans="1:14" x14ac:dyDescent="0.2">
      <c r="A116" t="s">
        <v>32</v>
      </c>
      <c r="B116" t="s">
        <v>20</v>
      </c>
      <c r="C116" s="2" t="s">
        <v>15</v>
      </c>
      <c r="D116" s="3">
        <v>14598</v>
      </c>
      <c r="E116" s="3">
        <v>1224</v>
      </c>
      <c r="F116" s="3">
        <v>1871</v>
      </c>
      <c r="G116" s="3">
        <v>36</v>
      </c>
      <c r="H116" s="3">
        <v>729</v>
      </c>
      <c r="I116" s="3">
        <v>619</v>
      </c>
      <c r="J116" s="3">
        <v>659</v>
      </c>
      <c r="K116" s="3">
        <v>1623</v>
      </c>
      <c r="L116" s="3">
        <v>297</v>
      </c>
      <c r="M116" s="3">
        <v>5462</v>
      </c>
      <c r="N116" s="3">
        <v>2078</v>
      </c>
    </row>
    <row r="117" spans="1:14" x14ac:dyDescent="0.2">
      <c r="A117" t="s">
        <v>32</v>
      </c>
      <c r="B117" t="s">
        <v>21</v>
      </c>
      <c r="C117" s="2" t="s">
        <v>15</v>
      </c>
      <c r="D117" s="3">
        <v>13986</v>
      </c>
      <c r="E117" s="3">
        <v>1170</v>
      </c>
      <c r="F117" s="3">
        <v>1808</v>
      </c>
      <c r="G117" s="3">
        <v>53</v>
      </c>
      <c r="H117" s="3">
        <v>695</v>
      </c>
      <c r="I117" s="3">
        <v>594</v>
      </c>
      <c r="J117" s="3">
        <v>787</v>
      </c>
      <c r="K117" s="7">
        <v>1348</v>
      </c>
      <c r="L117" s="7">
        <v>237</v>
      </c>
      <c r="M117" s="7">
        <v>5425</v>
      </c>
      <c r="N117" s="3">
        <v>1869</v>
      </c>
    </row>
    <row r="118" spans="1:14" x14ac:dyDescent="0.2">
      <c r="A118" t="s">
        <v>32</v>
      </c>
      <c r="B118" t="s">
        <v>27</v>
      </c>
      <c r="C118" s="2" t="s">
        <v>15</v>
      </c>
      <c r="D118" s="3">
        <v>12774</v>
      </c>
      <c r="E118" s="3">
        <v>1102</v>
      </c>
      <c r="F118" s="3">
        <v>1987</v>
      </c>
      <c r="G118" s="3">
        <v>34</v>
      </c>
      <c r="H118" s="3">
        <v>621</v>
      </c>
      <c r="I118" s="3">
        <v>475</v>
      </c>
      <c r="J118" s="3">
        <v>690</v>
      </c>
      <c r="K118" s="7">
        <v>1209</v>
      </c>
      <c r="L118" s="7">
        <v>210</v>
      </c>
      <c r="M118" s="7">
        <v>4795</v>
      </c>
      <c r="N118" s="3">
        <v>1651</v>
      </c>
    </row>
    <row r="119" spans="1:14" x14ac:dyDescent="0.2">
      <c r="A119" t="s">
        <v>32</v>
      </c>
      <c r="B119" t="s">
        <v>23</v>
      </c>
      <c r="C119" s="2" t="s">
        <v>15</v>
      </c>
      <c r="D119" s="3">
        <v>13245</v>
      </c>
      <c r="E119" s="3">
        <v>1215</v>
      </c>
      <c r="F119" s="3">
        <v>2097</v>
      </c>
      <c r="G119" s="3">
        <v>55</v>
      </c>
      <c r="H119" s="3">
        <v>643</v>
      </c>
      <c r="I119" s="3">
        <v>475</v>
      </c>
      <c r="J119" s="3">
        <v>670</v>
      </c>
      <c r="K119" s="3">
        <v>1375</v>
      </c>
      <c r="L119" s="3">
        <v>182</v>
      </c>
      <c r="M119" s="3">
        <v>5025</v>
      </c>
      <c r="N119" s="3">
        <v>1508</v>
      </c>
    </row>
    <row r="120" spans="1:14" x14ac:dyDescent="0.2">
      <c r="A120" t="s">
        <v>32</v>
      </c>
      <c r="B120" t="s">
        <v>24</v>
      </c>
      <c r="C120" s="4" t="s">
        <v>15</v>
      </c>
      <c r="D120" s="5">
        <v>12426</v>
      </c>
      <c r="E120" s="5">
        <v>1086</v>
      </c>
      <c r="F120" s="5">
        <v>1503</v>
      </c>
      <c r="G120" s="5">
        <v>49</v>
      </c>
      <c r="H120" s="5">
        <v>640</v>
      </c>
      <c r="I120" s="5">
        <v>486</v>
      </c>
      <c r="J120" s="5">
        <v>648</v>
      </c>
      <c r="K120" s="5">
        <v>1032</v>
      </c>
      <c r="L120" s="5">
        <v>173</v>
      </c>
      <c r="M120" s="5">
        <v>5307</v>
      </c>
      <c r="N120" s="5">
        <v>1502</v>
      </c>
    </row>
    <row r="121" spans="1:14" x14ac:dyDescent="0.2">
      <c r="C121" s="4"/>
      <c r="D121" s="13">
        <f>SUM(D112:D120)</f>
        <v>135841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">
      <c r="A122" t="s">
        <v>33</v>
      </c>
      <c r="B122" t="s">
        <v>14</v>
      </c>
      <c r="C122" s="4" t="s">
        <v>15</v>
      </c>
      <c r="D122" s="3">
        <v>1292</v>
      </c>
      <c r="E122" s="3">
        <v>114</v>
      </c>
      <c r="F122" s="3">
        <v>52</v>
      </c>
      <c r="G122" s="3">
        <v>3</v>
      </c>
      <c r="H122" s="3">
        <v>60</v>
      </c>
      <c r="I122" s="3">
        <v>49</v>
      </c>
      <c r="J122" s="3">
        <v>140</v>
      </c>
      <c r="K122" s="3">
        <v>218</v>
      </c>
      <c r="L122" s="3">
        <v>107</v>
      </c>
      <c r="M122" s="3">
        <v>376</v>
      </c>
      <c r="N122" s="3">
        <v>173</v>
      </c>
    </row>
    <row r="123" spans="1:14" x14ac:dyDescent="0.2">
      <c r="A123" t="s">
        <v>33</v>
      </c>
      <c r="B123" t="s">
        <v>16</v>
      </c>
      <c r="C123" s="2" t="s">
        <v>15</v>
      </c>
      <c r="D123" s="3">
        <v>1089</v>
      </c>
      <c r="E123" s="3">
        <v>112</v>
      </c>
      <c r="F123" s="3">
        <v>60</v>
      </c>
      <c r="G123" s="3">
        <v>5</v>
      </c>
      <c r="H123" s="3">
        <v>51</v>
      </c>
      <c r="I123" s="3">
        <v>57</v>
      </c>
      <c r="J123" s="3">
        <v>29</v>
      </c>
      <c r="K123" s="3">
        <v>236</v>
      </c>
      <c r="L123" s="3">
        <v>69</v>
      </c>
      <c r="M123" s="3">
        <v>294</v>
      </c>
      <c r="N123" s="3">
        <v>176</v>
      </c>
    </row>
    <row r="124" spans="1:14" x14ac:dyDescent="0.2">
      <c r="A124" t="s">
        <v>33</v>
      </c>
      <c r="B124" t="s">
        <v>18</v>
      </c>
      <c r="C124" s="2" t="s">
        <v>15</v>
      </c>
      <c r="D124" s="3">
        <v>1237</v>
      </c>
      <c r="E124" s="3">
        <v>93</v>
      </c>
      <c r="F124" s="3">
        <v>71</v>
      </c>
      <c r="G124" s="3">
        <v>9</v>
      </c>
      <c r="H124" s="3">
        <v>49</v>
      </c>
      <c r="I124" s="3">
        <v>52</v>
      </c>
      <c r="J124" s="3">
        <v>37</v>
      </c>
      <c r="K124" s="3">
        <v>196</v>
      </c>
      <c r="L124" s="3">
        <v>69</v>
      </c>
      <c r="M124" s="3">
        <v>440</v>
      </c>
      <c r="N124" s="3">
        <v>221</v>
      </c>
    </row>
    <row r="125" spans="1:14" x14ac:dyDescent="0.2">
      <c r="A125" t="s">
        <v>33</v>
      </c>
      <c r="B125" t="s">
        <v>19</v>
      </c>
      <c r="C125" s="2" t="s">
        <v>15</v>
      </c>
      <c r="D125" s="3">
        <v>1306</v>
      </c>
      <c r="E125" s="3">
        <v>97</v>
      </c>
      <c r="F125" s="3">
        <v>86</v>
      </c>
      <c r="G125" s="3">
        <v>5</v>
      </c>
      <c r="H125" s="3">
        <v>70</v>
      </c>
      <c r="I125" s="3">
        <v>68</v>
      </c>
      <c r="J125" s="3">
        <v>42</v>
      </c>
      <c r="K125" s="3">
        <v>171</v>
      </c>
      <c r="L125" s="3">
        <v>72</v>
      </c>
      <c r="M125" s="3">
        <v>522</v>
      </c>
      <c r="N125" s="3">
        <v>173</v>
      </c>
    </row>
    <row r="126" spans="1:14" x14ac:dyDescent="0.2">
      <c r="A126" t="s">
        <v>33</v>
      </c>
      <c r="B126" t="s">
        <v>20</v>
      </c>
      <c r="C126" s="2" t="s">
        <v>15</v>
      </c>
      <c r="D126" s="3">
        <v>1232</v>
      </c>
      <c r="E126" s="3">
        <v>110</v>
      </c>
      <c r="F126" s="3">
        <v>108</v>
      </c>
      <c r="G126" s="3">
        <v>5</v>
      </c>
      <c r="H126" s="3">
        <v>65</v>
      </c>
      <c r="I126" s="3">
        <v>54</v>
      </c>
      <c r="J126" s="3">
        <v>52</v>
      </c>
      <c r="K126" s="3">
        <v>175</v>
      </c>
      <c r="L126" s="3">
        <v>69</v>
      </c>
      <c r="M126" s="3">
        <v>432</v>
      </c>
      <c r="N126" s="3">
        <v>162</v>
      </c>
    </row>
    <row r="127" spans="1:14" x14ac:dyDescent="0.2">
      <c r="A127" t="s">
        <v>33</v>
      </c>
      <c r="B127" t="s">
        <v>21</v>
      </c>
      <c r="C127" s="2" t="s">
        <v>15</v>
      </c>
      <c r="D127" s="3">
        <v>1215</v>
      </c>
      <c r="E127" s="3">
        <v>121</v>
      </c>
      <c r="F127" s="3">
        <v>120</v>
      </c>
      <c r="G127" s="3">
        <v>6</v>
      </c>
      <c r="H127" s="3">
        <v>72</v>
      </c>
      <c r="I127" s="3">
        <v>36</v>
      </c>
      <c r="J127" s="3">
        <v>35</v>
      </c>
      <c r="K127" s="7">
        <v>122</v>
      </c>
      <c r="L127" s="7">
        <v>85</v>
      </c>
      <c r="M127" s="7">
        <v>432</v>
      </c>
      <c r="N127" s="7">
        <v>186</v>
      </c>
    </row>
    <row r="128" spans="1:14" x14ac:dyDescent="0.2">
      <c r="A128" t="s">
        <v>33</v>
      </c>
      <c r="B128" t="s">
        <v>27</v>
      </c>
      <c r="C128" s="2" t="s">
        <v>15</v>
      </c>
      <c r="D128" s="3">
        <v>1254</v>
      </c>
      <c r="E128" s="3">
        <v>116</v>
      </c>
      <c r="F128" s="3">
        <v>218</v>
      </c>
      <c r="G128" s="3">
        <v>5</v>
      </c>
      <c r="H128" s="3">
        <v>69</v>
      </c>
      <c r="I128" s="3">
        <v>33</v>
      </c>
      <c r="J128" s="3">
        <v>70</v>
      </c>
      <c r="K128" s="7">
        <v>203</v>
      </c>
      <c r="L128" s="7">
        <v>45</v>
      </c>
      <c r="M128" s="7">
        <v>370</v>
      </c>
      <c r="N128" s="7">
        <v>125</v>
      </c>
    </row>
    <row r="129" spans="1:14" x14ac:dyDescent="0.2">
      <c r="A129" t="s">
        <v>33</v>
      </c>
      <c r="B129" t="s">
        <v>23</v>
      </c>
      <c r="C129" s="2" t="s">
        <v>15</v>
      </c>
      <c r="D129" s="3">
        <v>1080</v>
      </c>
      <c r="E129" s="3">
        <v>121</v>
      </c>
      <c r="F129" s="3">
        <v>124</v>
      </c>
      <c r="G129" s="3">
        <v>4</v>
      </c>
      <c r="H129" s="3">
        <v>66</v>
      </c>
      <c r="I129" s="3">
        <v>43</v>
      </c>
      <c r="J129" s="3">
        <v>63</v>
      </c>
      <c r="K129" s="3">
        <v>121</v>
      </c>
      <c r="L129" s="3">
        <v>37</v>
      </c>
      <c r="M129" s="3">
        <v>374</v>
      </c>
      <c r="N129" s="3">
        <v>127</v>
      </c>
    </row>
    <row r="130" spans="1:14" x14ac:dyDescent="0.2">
      <c r="A130" t="s">
        <v>33</v>
      </c>
      <c r="B130" t="s">
        <v>24</v>
      </c>
      <c r="C130" s="4" t="s">
        <v>15</v>
      </c>
      <c r="D130" s="5">
        <v>949</v>
      </c>
      <c r="E130" s="5">
        <v>93</v>
      </c>
      <c r="F130" s="5">
        <v>127</v>
      </c>
      <c r="G130" s="5">
        <v>6</v>
      </c>
      <c r="H130" s="5">
        <v>57</v>
      </c>
      <c r="I130" s="5">
        <v>28</v>
      </c>
      <c r="J130" s="5">
        <v>57</v>
      </c>
      <c r="K130" s="5">
        <v>90</v>
      </c>
      <c r="L130" s="5">
        <v>20</v>
      </c>
      <c r="M130" s="5">
        <v>347</v>
      </c>
      <c r="N130" s="5">
        <v>124</v>
      </c>
    </row>
    <row r="131" spans="1:14" x14ac:dyDescent="0.2">
      <c r="C131" s="4"/>
      <c r="D131" s="13">
        <f>SUM(D130)+SUM(D122:D130)</f>
        <v>11603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">
      <c r="A132" t="s">
        <v>34</v>
      </c>
      <c r="B132" t="s">
        <v>14</v>
      </c>
      <c r="C132" s="4" t="s">
        <v>15</v>
      </c>
      <c r="D132" s="3">
        <v>190149</v>
      </c>
      <c r="E132" s="3">
        <v>11898</v>
      </c>
      <c r="F132" s="3">
        <v>23608</v>
      </c>
      <c r="G132" s="3">
        <v>401</v>
      </c>
      <c r="H132" s="3">
        <v>7225</v>
      </c>
      <c r="I132" s="3">
        <v>8426</v>
      </c>
      <c r="J132" s="3">
        <v>7696</v>
      </c>
      <c r="K132" s="3">
        <v>23491</v>
      </c>
      <c r="L132" s="3">
        <v>9098</v>
      </c>
      <c r="M132" s="3">
        <v>66608</v>
      </c>
      <c r="N132" s="3">
        <v>31698</v>
      </c>
    </row>
    <row r="133" spans="1:14" x14ac:dyDescent="0.2">
      <c r="A133" t="s">
        <v>34</v>
      </c>
      <c r="B133" t="s">
        <v>16</v>
      </c>
      <c r="C133" s="2" t="s">
        <v>15</v>
      </c>
      <c r="D133" s="3">
        <v>184450</v>
      </c>
      <c r="E133" s="3">
        <v>14940</v>
      </c>
      <c r="F133" s="3">
        <v>21886</v>
      </c>
      <c r="G133" s="3">
        <v>315</v>
      </c>
      <c r="H133" s="3">
        <v>6380</v>
      </c>
      <c r="I133" s="3">
        <v>8050</v>
      </c>
      <c r="J133" s="3">
        <v>7229</v>
      </c>
      <c r="K133" s="3">
        <v>26842</v>
      </c>
      <c r="L133" s="3">
        <v>7507</v>
      </c>
      <c r="M133" s="3">
        <v>59434</v>
      </c>
      <c r="N133" s="3">
        <v>31867</v>
      </c>
    </row>
    <row r="134" spans="1:14" x14ac:dyDescent="0.2">
      <c r="A134" t="s">
        <v>34</v>
      </c>
      <c r="B134" t="s">
        <v>18</v>
      </c>
      <c r="C134" s="2" t="s">
        <v>15</v>
      </c>
      <c r="D134" s="3">
        <v>201502</v>
      </c>
      <c r="E134" s="3">
        <v>11408</v>
      </c>
      <c r="F134" s="3">
        <v>27672</v>
      </c>
      <c r="G134" s="3">
        <v>383</v>
      </c>
      <c r="H134" s="3">
        <v>6788</v>
      </c>
      <c r="I134" s="3">
        <v>9063</v>
      </c>
      <c r="J134" s="3">
        <v>8442</v>
      </c>
      <c r="K134" s="3">
        <v>26604</v>
      </c>
      <c r="L134" s="3">
        <v>6036</v>
      </c>
      <c r="M134" s="3">
        <v>74282</v>
      </c>
      <c r="N134" s="3">
        <v>30824</v>
      </c>
    </row>
    <row r="135" spans="1:14" x14ac:dyDescent="0.2">
      <c r="A135" t="s">
        <v>34</v>
      </c>
      <c r="B135" t="s">
        <v>19</v>
      </c>
      <c r="C135" s="2" t="s">
        <v>15</v>
      </c>
      <c r="D135" s="3">
        <v>199797</v>
      </c>
      <c r="E135" s="3">
        <v>10303</v>
      </c>
      <c r="F135" s="3">
        <v>30915</v>
      </c>
      <c r="G135" s="3">
        <v>385</v>
      </c>
      <c r="H135" s="3">
        <v>7440</v>
      </c>
      <c r="I135" s="3">
        <v>8684</v>
      </c>
      <c r="J135" s="3">
        <v>9202</v>
      </c>
      <c r="K135" s="3">
        <v>20871</v>
      </c>
      <c r="L135" s="3">
        <v>5793</v>
      </c>
      <c r="M135" s="3">
        <v>77134</v>
      </c>
      <c r="N135" s="3">
        <v>29070</v>
      </c>
    </row>
    <row r="136" spans="1:14" x14ac:dyDescent="0.2">
      <c r="A136" t="s">
        <v>34</v>
      </c>
      <c r="B136" t="s">
        <v>20</v>
      </c>
      <c r="C136" s="2" t="s">
        <v>15</v>
      </c>
      <c r="D136" s="3">
        <v>190749</v>
      </c>
      <c r="E136" s="3">
        <v>10043</v>
      </c>
      <c r="F136" s="3">
        <v>29384</v>
      </c>
      <c r="G136" s="3">
        <v>436</v>
      </c>
      <c r="H136" s="3">
        <v>7680</v>
      </c>
      <c r="I136" s="3">
        <v>8297</v>
      </c>
      <c r="J136" s="3">
        <v>9145</v>
      </c>
      <c r="K136" s="3">
        <v>19497</v>
      </c>
      <c r="L136" s="3">
        <v>6070</v>
      </c>
      <c r="M136" s="3">
        <v>72224</v>
      </c>
      <c r="N136" s="3">
        <v>27973</v>
      </c>
    </row>
    <row r="137" spans="1:14" x14ac:dyDescent="0.2">
      <c r="A137" t="s">
        <v>34</v>
      </c>
      <c r="B137" t="s">
        <v>21</v>
      </c>
      <c r="C137" s="2" t="s">
        <v>15</v>
      </c>
      <c r="D137" s="3">
        <v>182877</v>
      </c>
      <c r="E137" s="3">
        <v>10115</v>
      </c>
      <c r="F137" s="3">
        <v>29461</v>
      </c>
      <c r="G137" s="3">
        <v>496</v>
      </c>
      <c r="H137" s="3">
        <v>7430</v>
      </c>
      <c r="I137" s="3">
        <v>7929</v>
      </c>
      <c r="J137" s="3">
        <v>8816</v>
      </c>
      <c r="K137" s="7">
        <v>16395</v>
      </c>
      <c r="L137" s="7">
        <v>6298</v>
      </c>
      <c r="M137" s="7">
        <v>71066</v>
      </c>
      <c r="N137" s="7">
        <v>24871</v>
      </c>
    </row>
    <row r="138" spans="1:14" x14ac:dyDescent="0.2">
      <c r="A138" t="s">
        <v>34</v>
      </c>
      <c r="B138" t="s">
        <v>27</v>
      </c>
      <c r="C138" s="2" t="s">
        <v>15</v>
      </c>
      <c r="D138" s="3">
        <v>173872</v>
      </c>
      <c r="E138" s="3">
        <v>9909</v>
      </c>
      <c r="F138" s="3">
        <v>30744</v>
      </c>
      <c r="G138" s="3">
        <v>433</v>
      </c>
      <c r="H138" s="3">
        <v>7350</v>
      </c>
      <c r="I138" s="3">
        <v>7080</v>
      </c>
      <c r="J138" s="3">
        <v>8832</v>
      </c>
      <c r="K138" s="7">
        <v>14513</v>
      </c>
      <c r="L138" s="7">
        <v>4963</v>
      </c>
      <c r="M138" s="7">
        <v>67088</v>
      </c>
      <c r="N138" s="7">
        <v>22960</v>
      </c>
    </row>
    <row r="139" spans="1:14" x14ac:dyDescent="0.2">
      <c r="A139" t="s">
        <v>34</v>
      </c>
      <c r="B139" t="s">
        <v>23</v>
      </c>
      <c r="C139" s="2" t="s">
        <v>15</v>
      </c>
      <c r="D139" s="3">
        <v>179555</v>
      </c>
      <c r="E139" s="3">
        <v>11367</v>
      </c>
      <c r="F139" s="3">
        <v>32533</v>
      </c>
      <c r="G139" s="3">
        <v>504</v>
      </c>
      <c r="H139" s="3">
        <v>7817</v>
      </c>
      <c r="I139" s="3">
        <v>6686</v>
      </c>
      <c r="J139" s="3">
        <v>8683</v>
      </c>
      <c r="K139" s="3">
        <v>16506</v>
      </c>
      <c r="L139" s="3">
        <v>5183</v>
      </c>
      <c r="M139" s="3">
        <v>68880</v>
      </c>
      <c r="N139" s="3">
        <v>21396</v>
      </c>
    </row>
    <row r="140" spans="1:14" x14ac:dyDescent="0.2">
      <c r="A140" t="s">
        <v>34</v>
      </c>
      <c r="B140" t="s">
        <v>24</v>
      </c>
      <c r="C140" s="4" t="s">
        <v>15</v>
      </c>
      <c r="D140" s="5">
        <v>169234</v>
      </c>
      <c r="E140" s="5">
        <v>9939</v>
      </c>
      <c r="F140" s="5">
        <v>28267</v>
      </c>
      <c r="G140" s="5">
        <v>511</v>
      </c>
      <c r="H140" s="5">
        <v>7289</v>
      </c>
      <c r="I140" s="5">
        <v>6432</v>
      </c>
      <c r="J140" s="5">
        <v>9406</v>
      </c>
      <c r="K140" s="5">
        <v>14124</v>
      </c>
      <c r="L140" s="5">
        <v>4462</v>
      </c>
      <c r="M140" s="5">
        <v>66974</v>
      </c>
      <c r="N140" s="5">
        <v>21830</v>
      </c>
    </row>
    <row r="141" spans="1:14" x14ac:dyDescent="0.2">
      <c r="D141" s="14">
        <f>SUM(D72:D140)</f>
        <v>4949882</v>
      </c>
    </row>
    <row r="142" spans="1:14" x14ac:dyDescent="0.2">
      <c r="G142" s="14">
        <f>SUM(G132:G141)</f>
        <v>3864</v>
      </c>
      <c r="L142" s="14">
        <f>SUM(L132:L141)</f>
        <v>55410</v>
      </c>
    </row>
  </sheetData>
  <sortState xmlns:xlrd2="http://schemas.microsoft.com/office/spreadsheetml/2017/richdata2" ref="A2:N140">
    <sortCondition ref="C2:C140"/>
    <sortCondition ref="A2:A140"/>
    <sortCondition descending="1" ref="B2:B140"/>
  </sortState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 Hata</dc:creator>
  <cp:lastModifiedBy>Maiko Hata</cp:lastModifiedBy>
  <dcterms:created xsi:type="dcterms:W3CDTF">2024-10-09T18:33:43Z</dcterms:created>
  <dcterms:modified xsi:type="dcterms:W3CDTF">2026-09-23T17:38:53Z</dcterms:modified>
</cp:coreProperties>
</file>